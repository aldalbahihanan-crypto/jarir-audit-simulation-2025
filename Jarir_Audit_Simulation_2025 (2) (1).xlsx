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huawei\Desktop\Hanan\"/>
    </mc:Choice>
  </mc:AlternateContent>
  <xr:revisionPtr revIDLastSave="0" documentId="8_{B0EF9C2A-B1D2-498E-8E9D-DEB66BFB3C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_Audit_Planning" sheetId="1" r:id="rId1"/>
    <sheet name="02_Risk_Assessment" sheetId="2" r:id="rId2"/>
    <sheet name="03_Materiality" sheetId="3" r:id="rId3"/>
    <sheet name="04_Revenue_Testing" sheetId="4" r:id="rId4"/>
    <sheet name="05_Inventory_Testing" sheetId="5" r:id="rId5"/>
    <sheet name="06_Audit_Findings" sheetId="6" r:id="rId6"/>
    <sheet name="07_Audit_Summa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2" i="5" l="1"/>
  <c r="B18" i="7" s="1"/>
  <c r="I28" i="5"/>
  <c r="H28" i="5"/>
  <c r="J28" i="5" s="1"/>
  <c r="F28" i="5"/>
  <c r="N28" i="5" s="1"/>
  <c r="I27" i="5"/>
  <c r="H27" i="5"/>
  <c r="J27" i="5" s="1"/>
  <c r="F27" i="5"/>
  <c r="N27" i="5" s="1"/>
  <c r="I26" i="5"/>
  <c r="H26" i="5"/>
  <c r="J26" i="5" s="1"/>
  <c r="F26" i="5"/>
  <c r="N26" i="5" s="1"/>
  <c r="I25" i="5"/>
  <c r="H25" i="5"/>
  <c r="J25" i="5" s="1"/>
  <c r="F25" i="5"/>
  <c r="N25" i="5" s="1"/>
  <c r="I24" i="5"/>
  <c r="H24" i="5"/>
  <c r="J24" i="5" s="1"/>
  <c r="F24" i="5"/>
  <c r="N23" i="5"/>
  <c r="I23" i="5"/>
  <c r="H23" i="5"/>
  <c r="J23" i="5" s="1"/>
  <c r="F23" i="5"/>
  <c r="I22" i="5"/>
  <c r="H22" i="5"/>
  <c r="J22" i="5" s="1"/>
  <c r="F22" i="5"/>
  <c r="N22" i="5" s="1"/>
  <c r="I21" i="5"/>
  <c r="H21" i="5"/>
  <c r="J21" i="5" s="1"/>
  <c r="F21" i="5"/>
  <c r="N21" i="5" s="1"/>
  <c r="I20" i="5"/>
  <c r="H20" i="5"/>
  <c r="J20" i="5" s="1"/>
  <c r="F20" i="5"/>
  <c r="N20" i="5" s="1"/>
  <c r="I19" i="5"/>
  <c r="H19" i="5"/>
  <c r="J19" i="5" s="1"/>
  <c r="F19" i="5"/>
  <c r="N19" i="5" s="1"/>
  <c r="I18" i="5"/>
  <c r="H18" i="5"/>
  <c r="J18" i="5" s="1"/>
  <c r="F18" i="5"/>
  <c r="N18" i="5" s="1"/>
  <c r="I17" i="5"/>
  <c r="H17" i="5"/>
  <c r="J17" i="5" s="1"/>
  <c r="B35" i="5" s="1"/>
  <c r="F17" i="5"/>
  <c r="N17" i="5" s="1"/>
  <c r="B7" i="5"/>
  <c r="B30" i="4"/>
  <c r="B17" i="7" s="1"/>
  <c r="N26" i="4"/>
  <c r="O26" i="4" s="1"/>
  <c r="N25" i="4"/>
  <c r="O25" i="4" s="1"/>
  <c r="N24" i="4"/>
  <c r="O24" i="4" s="1"/>
  <c r="O23" i="4"/>
  <c r="N23" i="4"/>
  <c r="N22" i="4"/>
  <c r="O22" i="4" s="1"/>
  <c r="N21" i="4"/>
  <c r="O21" i="4" s="1"/>
  <c r="N20" i="4"/>
  <c r="O20" i="4" s="1"/>
  <c r="N19" i="4"/>
  <c r="O19" i="4" s="1"/>
  <c r="N18" i="4"/>
  <c r="O18" i="4" s="1"/>
  <c r="N17" i="4"/>
  <c r="O17" i="4" s="1"/>
  <c r="N16" i="4"/>
  <c r="O16" i="4" s="1"/>
  <c r="N15" i="4"/>
  <c r="B7" i="4"/>
  <c r="B13" i="7" s="1"/>
  <c r="C13" i="3"/>
  <c r="D24" i="1"/>
  <c r="D23" i="1"/>
  <c r="D22" i="1"/>
  <c r="B19" i="7"/>
  <c r="B34" i="5" l="1"/>
  <c r="B33" i="5"/>
  <c r="B33" i="4"/>
  <c r="O15" i="4"/>
  <c r="B14" i="7"/>
  <c r="B11" i="5"/>
  <c r="C14" i="3"/>
  <c r="B15" i="7" s="1"/>
  <c r="B9" i="4"/>
  <c r="C15" i="3"/>
  <c r="N24" i="5"/>
  <c r="B32" i="4" l="1"/>
  <c r="B31" i="4"/>
  <c r="H5" i="6"/>
  <c r="H6" i="6"/>
  <c r="H7" i="6"/>
  <c r="H10" i="6"/>
  <c r="H8" i="6"/>
  <c r="B16" i="7"/>
  <c r="H9" i="6"/>
</calcChain>
</file>

<file path=xl/sharedStrings.xml><?xml version="1.0" encoding="utf-8"?>
<sst xmlns="http://schemas.openxmlformats.org/spreadsheetml/2006/main" count="633" uniqueCount="408">
  <si>
    <t>Jarir Audit Simulation 2025 — Audit Planning</t>
  </si>
  <si>
    <t>Educational external audit simulation | Jarir Marketing Company | Amounts in SAR '000 unless stated</t>
  </si>
  <si>
    <t>A. Engagement Information</t>
  </si>
  <si>
    <t>Project name</t>
  </si>
  <si>
    <t>Jarir Audit Simulation 2025</t>
  </si>
  <si>
    <t>Entity</t>
  </si>
  <si>
    <t>Jarir Marketing Company (Jarir Bookstore)</t>
  </si>
  <si>
    <t>Reporting period</t>
  </si>
  <si>
    <t>Year ended 31 December 2025</t>
  </si>
  <si>
    <t>Engagement type</t>
  </si>
  <si>
    <t>Educational external audit simulation</t>
  </si>
  <si>
    <t>Prepared by</t>
  </si>
  <si>
    <t>Preparation date</t>
  </si>
  <si>
    <t>Framework</t>
  </si>
  <si>
    <t>IFRS Accounting Standards as endorsed in Saudi Arabia</t>
  </si>
  <si>
    <t>B. Understanding the Entity</t>
  </si>
  <si>
    <t>Business model</t>
  </si>
  <si>
    <t>Retail (including online sales) and wholesale operations in Saudi Arabia and other GCC countries.</t>
  </si>
  <si>
    <t>Products and services</t>
  </si>
  <si>
    <t>Books, office and school supplies, electronics, computers, mobile phones, accessories, toys, arts and crafts, and related services.</t>
  </si>
  <si>
    <t>Key public-data context</t>
  </si>
  <si>
    <t>2025 revenue was SAR 11,449,790 thousand; 2025 profit before zakat and income tax was SAR 1,077,357 thousand.</t>
  </si>
  <si>
    <t>Potential audit focus</t>
  </si>
  <si>
    <t>Revenue recognition and inventory existence/valuation are highlighted as key audit areas in the 2025 independent auditor’s report.</t>
  </si>
  <si>
    <t>C. Preliminary Analytical Procedures</t>
  </si>
  <si>
    <t>Metric</t>
  </si>
  <si>
    <t>2024</t>
  </si>
  <si>
    <t>2025</t>
  </si>
  <si>
    <t>Change</t>
  </si>
  <si>
    <t>Comment</t>
  </si>
  <si>
    <t>Source / status</t>
  </si>
  <si>
    <t>Revenue</t>
  </si>
  <si>
    <t>Growth calculated from Saudi Exchange financial summary</t>
  </si>
  <si>
    <t>Saudi Exchange company profile; reported</t>
  </si>
  <si>
    <t>Profit before zakat and tax</t>
  </si>
  <si>
    <t>Gross inventory</t>
  </si>
  <si>
    <t>Gross inventory disclosed in audited financial statements</t>
  </si>
  <si>
    <t>2025 audited FS, KAM / Note 5; reported</t>
  </si>
  <si>
    <t>D. Scope, Risks and Planned Deliverables</t>
  </si>
  <si>
    <t>Scope</t>
  </si>
  <si>
    <t>Revenue recognition, inventory existence and valuation, selected risks, analytical procedures, and illustrative substantive testing.</t>
  </si>
  <si>
    <t>Risk hypotheses</t>
  </si>
  <si>
    <t>Potential revenue cut-off/occurrence risk; potential inventory quantity, cost, and obsolescence risk.</t>
  </si>
  <si>
    <t>Planned workpapers</t>
  </si>
  <si>
    <t>Risk assessment, materiality, simulated revenue testing, simulated inventory testing, findings register, and audit summary.</t>
  </si>
  <si>
    <t>Evidence limitation</t>
  </si>
  <si>
    <t>Transaction-level records and supporting documents are fictional and are not Jarir records.</t>
  </si>
  <si>
    <t>Jarir Audit Simulation 2025 — Risk Assessment</t>
  </si>
  <si>
    <t>Risk ID</t>
  </si>
  <si>
    <t>Area</t>
  </si>
  <si>
    <t>Risk description</t>
  </si>
  <si>
    <t>Rationale / source</t>
  </si>
  <si>
    <t>Assertion</t>
  </si>
  <si>
    <t>Inherent risk</t>
  </si>
  <si>
    <t>Control risk</t>
  </si>
  <si>
    <t>Overall risk</t>
  </si>
  <si>
    <t>Significant risk?</t>
  </si>
  <si>
    <t>Planned response</t>
  </si>
  <si>
    <t>Related worksheet</t>
  </si>
  <si>
    <t>Status</t>
  </si>
  <si>
    <t>R-01</t>
  </si>
  <si>
    <t>Revenue may be recorded in the wrong period, especially around year-end.</t>
  </si>
  <si>
    <t>Revenue recognition is a key audit matter; cash sales and high transaction volume increase cut-off risk.</t>
  </si>
  <si>
    <t>Cut-off; occurrence</t>
  </si>
  <si>
    <t>High</t>
  </si>
  <si>
    <t>Medium</t>
  </si>
  <si>
    <t>Yes</t>
  </si>
  <si>
    <t>Test transactions before/after year-end; agree dates to illustrative fulfillment evidence.</t>
  </si>
  <si>
    <t>04_Revenue_Testing</t>
  </si>
  <si>
    <t>Completed</t>
  </si>
  <si>
    <t>R-02</t>
  </si>
  <si>
    <t>Recorded revenue may not agree to supporting documentation.</t>
  </si>
  <si>
    <t>Revenue is a key performance measure and includes retail, wholesale and e-commerce.</t>
  </si>
  <si>
    <t>Accuracy; occurrence</t>
  </si>
  <si>
    <t>No</t>
  </si>
  <si>
    <t>Vouch sample amounts to simulated invoices and ledger amounts.</t>
  </si>
  <si>
    <t>R-03</t>
  </si>
  <si>
    <t>Inventory</t>
  </si>
  <si>
    <t>Recorded quantities may differ from physical quantities.</t>
  </si>
  <si>
    <t>Multiple stores/warehouses and high transaction volumes create existence/completeness exposure.</t>
  </si>
  <si>
    <t>Existence; completeness</t>
  </si>
  <si>
    <t>Compare recorded quantities to illustrative count quantities; investigate differences.</t>
  </si>
  <si>
    <t>05_Inventory_Testing</t>
  </si>
  <si>
    <t>R-04</t>
  </si>
  <si>
    <t>Inventory may be misstated due to costing or slow-moving items.</t>
  </si>
  <si>
    <t>The audited report discloses a slow-moving inventory provision and significant management judgment.</t>
  </si>
  <si>
    <t>Valuation and allocation</t>
  </si>
  <si>
    <t>Recalculate values and flag items with potential obsolescence indicators.</t>
  </si>
  <si>
    <t>R-05</t>
  </si>
  <si>
    <t>Purchases/dispatches around year-end may be recorded in the wrong period.</t>
  </si>
  <si>
    <t>Retail inventory is exposed to cut-off around reporting date.</t>
  </si>
  <si>
    <t>Cut-off; completeness</t>
  </si>
  <si>
    <t>Inspect illustrative receipts and dispatches around 31 December.</t>
  </si>
  <si>
    <t>Jarir Audit Simulation 2025 — Materiality</t>
  </si>
  <si>
    <t>A. Benchmark Selection</t>
  </si>
  <si>
    <t>Selected benchmark</t>
  </si>
  <si>
    <t>Profit before zakat and income tax</t>
  </si>
  <si>
    <t>Benchmark amount</t>
  </si>
  <si>
    <t>Unit</t>
  </si>
  <si>
    <t>SAR '000</t>
  </si>
  <si>
    <t>Rationale</t>
  </si>
  <si>
    <t>PBT is selected for this educational model because users may focus on profitability and the entity is a profitable listed retailer. The percentage is an illustrative planning assumption, not a universal rule.</t>
  </si>
  <si>
    <t>B. Threshold Calculations</t>
  </si>
  <si>
    <t>Threshold</t>
  </si>
  <si>
    <t>Formula / assumption</t>
  </si>
  <si>
    <t>Amount (SAR '000)</t>
  </si>
  <si>
    <t>Use in simulation</t>
  </si>
  <si>
    <t>Overall materiality</t>
  </si>
  <si>
    <t>Benchmark × 5.0%</t>
  </si>
  <si>
    <t>Overall planning threshold</t>
  </si>
  <si>
    <t>Performance materiality</t>
  </si>
  <si>
    <t>Lower threshold for audit procedures</t>
  </si>
  <si>
    <t>Clearly trivial threshold</t>
  </si>
  <si>
    <t>Items below this are ordinarily clearly trivial in this simulation</t>
  </si>
  <si>
    <t>C. Source and Application Notes</t>
  </si>
  <si>
    <t>• All figures are in SAR thousands unless stated otherwise.</t>
  </si>
  <si>
    <t>• Actual benchmark is sourced from the Saudi Exchange financial summary for Jarir (year ended 31 December 2025).</t>
  </si>
  <si>
    <t>• Percentages are explicit educational assumptions.</t>
  </si>
  <si>
    <t>• Testing sheets link to these thresholds rather than retyping them.</t>
  </si>
  <si>
    <t>Jarir Audit Simulation 2025 — Revenue Testing</t>
  </si>
  <si>
    <t>A. Revenue Background</t>
  </si>
  <si>
    <t>Reported revenue 2025</t>
  </si>
  <si>
    <t>Reported revenue 2024</t>
  </si>
  <si>
    <t>Revenue growth</t>
  </si>
  <si>
    <t>Revenue recognition policy</t>
  </si>
  <si>
    <t>Revenue is recognized under IFRS 15 when control of goods or services transfers to the customer; the audited report identifies revenue recognition as a key audit matter.</t>
  </si>
  <si>
    <t>Materiality reference</t>
  </si>
  <si>
    <t>Data classification</t>
  </si>
  <si>
    <t>Reported totals are public financial information. The transaction sample below is simulated for education only.</t>
  </si>
  <si>
    <t>B. Illustrative Revenue Sample — Fictional Transactions</t>
  </si>
  <si>
    <t>Sample ID</t>
  </si>
  <si>
    <t>Transaction ID</t>
  </si>
  <si>
    <t>Transaction date</t>
  </si>
  <si>
    <t>Invoice date</t>
  </si>
  <si>
    <t>Invoice no.</t>
  </si>
  <si>
    <t>Customer ref.</t>
  </si>
  <si>
    <t>Description</t>
  </si>
  <si>
    <t>Invoice amount</t>
  </si>
  <si>
    <t>Ledger amount</t>
  </si>
  <si>
    <t>Fulfillment date</t>
  </si>
  <si>
    <t>Recognition date</t>
  </si>
  <si>
    <t>Credit note / return</t>
  </si>
  <si>
    <t>Support status</t>
  </si>
  <si>
    <t>Difference</t>
  </si>
  <si>
    <t>Test result</t>
  </si>
  <si>
    <t>Exception description</t>
  </si>
  <si>
    <t>Audit conclusion</t>
  </si>
  <si>
    <t>Reviewer notes</t>
  </si>
  <si>
    <t>REV-01</t>
  </si>
  <si>
    <t>SIM-R-001</t>
  </si>
  <si>
    <t>2025-12-05</t>
  </si>
  <si>
    <t>SIM-INV-001</t>
  </si>
  <si>
    <t>SIM-CUST-001</t>
  </si>
  <si>
    <t>Laptop accessories bundle</t>
  </si>
  <si>
    <t>2025-12-06</t>
  </si>
  <si>
    <t>None</t>
  </si>
  <si>
    <t>Complete</t>
  </si>
  <si>
    <t>No exception identified</t>
  </si>
  <si>
    <t>Illustrative only</t>
  </si>
  <si>
    <t>REV-02</t>
  </si>
  <si>
    <t>SIM-R-002</t>
  </si>
  <si>
    <t>2025-12-12</t>
  </si>
  <si>
    <t>SIM-INV-002</t>
  </si>
  <si>
    <t>SIM-CUST-002</t>
  </si>
  <si>
    <t>School supplies order</t>
  </si>
  <si>
    <t>2025-12-13</t>
  </si>
  <si>
    <t>REV-03</t>
  </si>
  <si>
    <t>SIM-R-003</t>
  </si>
  <si>
    <t>2025-12-20</t>
  </si>
  <si>
    <t>SIM-INV-003</t>
  </si>
  <si>
    <t>SIM-CUST-003</t>
  </si>
  <si>
    <t>Mobile phone sale</t>
  </si>
  <si>
    <t>REV-04</t>
  </si>
  <si>
    <t>SIM-R-004</t>
  </si>
  <si>
    <t>2025-12-28</t>
  </si>
  <si>
    <t>SIM-INV-004</t>
  </si>
  <si>
    <t>SIM-CUST-004</t>
  </si>
  <si>
    <t>Printer and toner</t>
  </si>
  <si>
    <t>2025-12-29</t>
  </si>
  <si>
    <t>Amount differs by SAR 200</t>
  </si>
  <si>
    <t>Potential amount discrepancy; investigate</t>
  </si>
  <si>
    <t>REV-05</t>
  </si>
  <si>
    <t>SIM-R-005</t>
  </si>
  <si>
    <t>2025-12-30</t>
  </si>
  <si>
    <t>SIM-INV-005</t>
  </si>
  <si>
    <t>SIM-CUST-005</t>
  </si>
  <si>
    <t>Books and publications</t>
  </si>
  <si>
    <t>2026-01-02</t>
  </si>
  <si>
    <t>Fulfilled after year-end; recognition date is 2026-01-02</t>
  </si>
  <si>
    <t>Potential cut-off exception; obtain policy/evidence</t>
  </si>
  <si>
    <t>REV-06</t>
  </si>
  <si>
    <t>SIM-R-006</t>
  </si>
  <si>
    <t>2025-12-31</t>
  </si>
  <si>
    <t>SIM-INV-006</t>
  </si>
  <si>
    <t>SIM-CUST-006</t>
  </si>
  <si>
    <t>Tablet device</t>
  </si>
  <si>
    <t>REV-07</t>
  </si>
  <si>
    <t>SIM-R-007</t>
  </si>
  <si>
    <t>2025-11-14</t>
  </si>
  <si>
    <t>SIM-INV-007</t>
  </si>
  <si>
    <t>SIM-CUST-007</t>
  </si>
  <si>
    <t>Office furniture</t>
  </si>
  <si>
    <t>2025-11-15</t>
  </si>
  <si>
    <t>REV-08</t>
  </si>
  <si>
    <t>SIM-R-008</t>
  </si>
  <si>
    <t>2025-10-18</t>
  </si>
  <si>
    <t>SIM-INV-008</t>
  </si>
  <si>
    <t>SIM-CUST-008</t>
  </si>
  <si>
    <t>Educational toys</t>
  </si>
  <si>
    <t>REV-09</t>
  </si>
  <si>
    <t>SIM-R-009</t>
  </si>
  <si>
    <t>2025-12-22</t>
  </si>
  <si>
    <t>SIM-INV-009</t>
  </si>
  <si>
    <t>SIM-CUST-009</t>
  </si>
  <si>
    <t>Wireless headphones</t>
  </si>
  <si>
    <t>2025-12-23</t>
  </si>
  <si>
    <t>Incomplete</t>
  </si>
  <si>
    <t>Delivery evidence missing</t>
  </si>
  <si>
    <t>Documentation exception; request fulfillment evidence</t>
  </si>
  <si>
    <t>REV-10</t>
  </si>
  <si>
    <t>SIM-R-010</t>
  </si>
  <si>
    <t>2025-09-30</t>
  </si>
  <si>
    <t>SIM-INV-010</t>
  </si>
  <si>
    <t>SIM-CUST-010</t>
  </si>
  <si>
    <t>Computer monitor</t>
  </si>
  <si>
    <t>2025-10-01</t>
  </si>
  <si>
    <t>REV-11</t>
  </si>
  <si>
    <t>SIM-R-011</t>
  </si>
  <si>
    <t>SIM-INV-011</t>
  </si>
  <si>
    <t>SIM-CUST-011</t>
  </si>
  <si>
    <t>Smart TV</t>
  </si>
  <si>
    <t>REV-12</t>
  </si>
  <si>
    <t>SIM-R-012</t>
  </si>
  <si>
    <t>SIM-INV-012</t>
  </si>
  <si>
    <t>SIM-CUST-012</t>
  </si>
  <si>
    <t>Digital card bundle</t>
  </si>
  <si>
    <t>C. Revenue Testing Results</t>
  </si>
  <si>
    <t>Transactions tested</t>
  </si>
  <si>
    <t>No-exception items</t>
  </si>
  <si>
    <t>Exceptions / follow-up items</t>
  </si>
  <si>
    <t>Total identified amount difference</t>
  </si>
  <si>
    <t>Conclusion</t>
  </si>
  <si>
    <t>The sample includes illustrative exceptions and documentation limitations. It cannot be extrapolated to Jarir’s full revenue population.</t>
  </si>
  <si>
    <t>Jarir Audit Simulation 2025 — Inventory Testing</t>
  </si>
  <si>
    <t>A. Inventory Background</t>
  </si>
  <si>
    <t>Gross inventory 2025</t>
  </si>
  <si>
    <t>Slow-moving provision 2025</t>
  </si>
  <si>
    <t>Net inventory (derived)</t>
  </si>
  <si>
    <t>Gross inventory 2024</t>
  </si>
  <si>
    <t>Slow-moving provision 2024</t>
  </si>
  <si>
    <t>Valuation policy</t>
  </si>
  <si>
    <t>Inventories are carried at the lower of cost and net realizable value. The 2025 audited report highlights existence and valuation of inventories as a key audit matter.</t>
  </si>
  <si>
    <t>Balances and policy are reported public information. The item-level sample below is fictional and illustrative.</t>
  </si>
  <si>
    <t>B. Illustrative Inventory Sample — Fictional Items</t>
  </si>
  <si>
    <t>Item ID</t>
  </si>
  <si>
    <t>Fictional SKU</t>
  </si>
  <si>
    <t>Recorded qty</t>
  </si>
  <si>
    <t>Count qty</t>
  </si>
  <si>
    <t>Qty difference</t>
  </si>
  <si>
    <t>Unit cost</t>
  </si>
  <si>
    <t>Recorded value</t>
  </si>
  <si>
    <t>Recalculated value</t>
  </si>
  <si>
    <t>Value difference</t>
  </si>
  <si>
    <t>Condition</t>
  </si>
  <si>
    <t>Obsolescence indicator</t>
  </si>
  <si>
    <t>Evidence status</t>
  </si>
  <si>
    <t>Recommended follow-up</t>
  </si>
  <si>
    <t>INV-01</t>
  </si>
  <si>
    <t>SIM-SKU-001</t>
  </si>
  <si>
    <t>Notebook set</t>
  </si>
  <si>
    <t>Good</t>
  </si>
  <si>
    <t>INV-02</t>
  </si>
  <si>
    <t>SIM-SKU-002</t>
  </si>
  <si>
    <t>Wireless keyboard</t>
  </si>
  <si>
    <t>Quantity differs by 3 units</t>
  </si>
  <si>
    <t>Reperform count and trace movements</t>
  </si>
  <si>
    <t>Potential quantity exception</t>
  </si>
  <si>
    <t>INV-03</t>
  </si>
  <si>
    <t>SIM-SKU-003</t>
  </si>
  <si>
    <t>Tablet case</t>
  </si>
  <si>
    <t>INV-04</t>
  </si>
  <si>
    <t>SIM-SKU-004</t>
  </si>
  <si>
    <t>Previous-generation tablet</t>
  </si>
  <si>
    <t>Fair</t>
  </si>
  <si>
    <t>Potential slow-moving</t>
  </si>
  <si>
    <t>Potential valuation review</t>
  </si>
  <si>
    <t>Review aging and NRV support</t>
  </si>
  <si>
    <t>Potential valuation issue</t>
  </si>
  <si>
    <t>INV-05</t>
  </si>
  <si>
    <t>SIM-SKU-005</t>
  </si>
  <si>
    <t>Printer cartridge</t>
  </si>
  <si>
    <t>INV-06</t>
  </si>
  <si>
    <t>SIM-SKU-006</t>
  </si>
  <si>
    <t>Smartphone accessory</t>
  </si>
  <si>
    <t>INV-07</t>
  </si>
  <si>
    <t>SIM-SKU-007</t>
  </si>
  <si>
    <t>Bluetooth speaker</t>
  </si>
  <si>
    <t>Damaged</t>
  </si>
  <si>
    <t>Potential write-down</t>
  </si>
  <si>
    <t>Condition evidence incomplete</t>
  </si>
  <si>
    <t>Obtain inspection and NRV evidence</t>
  </si>
  <si>
    <t>Requires follow-up</t>
  </si>
  <si>
    <t>INV-08</t>
  </si>
  <si>
    <t>SIM-SKU-008</t>
  </si>
  <si>
    <t>English books bundle</t>
  </si>
  <si>
    <t>INV-09</t>
  </si>
  <si>
    <t>SIM-SKU-009</t>
  </si>
  <si>
    <t>Gaming controller</t>
  </si>
  <si>
    <t>INV-10</t>
  </si>
  <si>
    <t>SIM-SKU-010</t>
  </si>
  <si>
    <t>Desk lamp</t>
  </si>
  <si>
    <t>INV-11</t>
  </si>
  <si>
    <t>SIM-SKU-011</t>
  </si>
  <si>
    <t>Educational kit</t>
  </si>
  <si>
    <t>INV-12</t>
  </si>
  <si>
    <t>SIM-SKU-012</t>
  </si>
  <si>
    <t>Monitor stand</t>
  </si>
  <si>
    <t>C. Inventory Testing Results</t>
  </si>
  <si>
    <t>Items tested</t>
  </si>
  <si>
    <t>Items without exception</t>
  </si>
  <si>
    <t>Total illustrative value difference</t>
  </si>
  <si>
    <t>Illustrative discrepancies require follow-up in a real engagement; they are not confirmed Jarir misstatements.</t>
  </si>
  <si>
    <t>Jarir Audit Simulation 2025 — Audit Findings Register</t>
  </si>
  <si>
    <t>Finding ID</t>
  </si>
  <si>
    <t>Procedure</t>
  </si>
  <si>
    <t>Account</t>
  </si>
  <si>
    <t>Criterion / policy</t>
  </si>
  <si>
    <t>Illustrative cause</t>
  </si>
  <si>
    <t>Potential impact</t>
  </si>
  <si>
    <t>Overall materiality comparison</t>
  </si>
  <si>
    <t>Risk implication</t>
  </si>
  <si>
    <t>Recommended action</t>
  </si>
  <si>
    <t>Simulated management response</t>
  </si>
  <si>
    <t>Reference</t>
  </si>
  <si>
    <t>F-01</t>
  </si>
  <si>
    <t>REV-01 / REV-02</t>
  </si>
  <si>
    <t>Ledger amount exceeds simulated invoice by SAR 200.</t>
  </si>
  <si>
    <t>Amount should agree to supporting evidence.</t>
  </si>
  <si>
    <t>Illustrative data entry error.</t>
  </si>
  <si>
    <t>200</t>
  </si>
  <si>
    <t>May indicate need for reconciliation.</t>
  </si>
  <si>
    <t>Investigate source and correct if confirmed.</t>
  </si>
  <si>
    <t>Not provided — simulation only.</t>
  </si>
  <si>
    <t>Requires Follow-up</t>
  </si>
  <si>
    <t>Unresolved illustrative difference.</t>
  </si>
  <si>
    <t>04_Revenue_Testing REV-04</t>
  </si>
  <si>
    <t>F-02</t>
  </si>
  <si>
    <t>Simulated fulfillment and recognition occur after 31 December for a 30 December invoice.</t>
  </si>
  <si>
    <t>Recognize revenue when control transfers under IFRS 15.</t>
  </si>
  <si>
    <t>Illustrative cut-off scenario.</t>
  </si>
  <si>
    <t>0</t>
  </si>
  <si>
    <t>Potential cut-off risk.</t>
  </si>
  <si>
    <t>Obtain fulfillment evidence and assess recognition date.</t>
  </si>
  <si>
    <t>Potential cut-off exception; not a confirmed misstatement.</t>
  </si>
  <si>
    <t>04_Revenue_Testing REV-05</t>
  </si>
  <si>
    <t>F-03</t>
  </si>
  <si>
    <t>Delivery evidence is missing for one simulated transaction.</t>
  </si>
  <si>
    <t>Sufficient appropriate audit evidence is required.</t>
  </si>
  <si>
    <t>Illustrative documentation gap.</t>
  </si>
  <si>
    <t>Evidence limitation.</t>
  </si>
  <si>
    <t>Request delivery/fulfillment evidence; do not infer misstatement from absence alone.</t>
  </si>
  <si>
    <t>Unresolved evidence limitation.</t>
  </si>
  <si>
    <t>04_Revenue_Testing REV-09</t>
  </si>
  <si>
    <t>F-04</t>
  </si>
  <si>
    <t>Illustrative count differs from recorded quantity by 3 units.</t>
  </si>
  <si>
    <t>Recorded quantities should reconcile to count evidence.</t>
  </si>
  <si>
    <t>Illustrative counting or recording error.</t>
  </si>
  <si>
    <t>450</t>
  </si>
  <si>
    <t>Potential existence/completeness risk.</t>
  </si>
  <si>
    <t>Reperform count and trace inventory movements.</t>
  </si>
  <si>
    <t>Potential quantity exception.</t>
  </si>
  <si>
    <t>05_Inventory_Testing INV-02</t>
  </si>
  <si>
    <t>F-05</t>
  </si>
  <si>
    <t>One simulated item is damaged and may require NRV review.</t>
  </si>
  <si>
    <t>Inventory is carried at lower of cost and NRV.</t>
  </si>
  <si>
    <t>Illustrative condition issue.</t>
  </si>
  <si>
    <t>Potential valuation risk.</t>
  </si>
  <si>
    <t>Obtain condition and NRV evidence; assess provision.</t>
  </si>
  <si>
    <t>Potential valuation issue; no adjustment concluded.</t>
  </si>
  <si>
    <t>05_Inventory_Testing INV-07</t>
  </si>
  <si>
    <t>F-06</t>
  </si>
  <si>
    <t>One simulated item is flagged as potentially slow-moving.</t>
  </si>
  <si>
    <t>Inventory is carried at the lower of cost and net realizable value; aging and NRV evidence are relevant.</t>
  </si>
  <si>
    <t>Illustrative aging indicator.</t>
  </si>
  <si>
    <t>Review aging, sell-through, vendor return rights, and NRV support.</t>
  </si>
  <si>
    <t>05_Inventory_Testing INV-04</t>
  </si>
  <si>
    <t>Jarir Audit Simulation 2025 — Executive Summary</t>
  </si>
  <si>
    <t>A. Engagement Overview</t>
  </si>
  <si>
    <t>Revenue recognition and inventory existence/valuation, supported by planning, risk assessment, materiality, and illustrative substantive testing.</t>
  </si>
  <si>
    <t>Nature</t>
  </si>
  <si>
    <t>Educational simulation only; no actual audit engagement was performed.</t>
  </si>
  <si>
    <t>B. Key Metrics</t>
  </si>
  <si>
    <t>Value</t>
  </si>
  <si>
    <t>Source / linked worksheet</t>
  </si>
  <si>
    <t>03_Materiality</t>
  </si>
  <si>
    <t>Revenue transactions tested</t>
  </si>
  <si>
    <t>Inventory items tested</t>
  </si>
  <si>
    <t>Findings logged</t>
  </si>
  <si>
    <t>06_Audit_Findings</t>
  </si>
  <si>
    <t>C. Simulation Conclusion</t>
  </si>
  <si>
    <t>The documented simulation identified illustrative revenue and inventory exceptions requiring follow-up, but the amounts and evidence are fictional at the transaction/item level. The procedures do not support an opinion on Jarir’s actual financial statements, and no audit opinion is issued. In a real engagement, the next steps would include obtaining source documents, reconciling exceptions, assessing aggregation, and evaluating the effect on the financial statements.</t>
  </si>
  <si>
    <t>D. Key Recommendations</t>
  </si>
  <si>
    <t>• Complete cut-off testing around year-end with actual fulfillment evidence.</t>
  </si>
  <si>
    <t>• Reconcile revenue exceptions to source systems and investigate differences.</t>
  </si>
  <si>
    <t>• Attend/observe inventory counts and test quantity movements.</t>
  </si>
  <si>
    <t>• Review slow-moving inventory provisions using aging and NRV evidence.</t>
  </si>
  <si>
    <t>• Document unresolved items and consider aggregate impact against materiality.</t>
  </si>
  <si>
    <t>Hanan aldalbahi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</si>
</sst>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075B2A"/>
      <name val="Arial"/>
      <charset val="1"/>
    </font>
    <font>
      <sz val="11"/>
      <color theme="1"/>
      <name val="Arial"/>
      <family val="2"/>
      <charset val="1"/>
    </font>
    <font>
      <b/>
      <sz val="11"/>
      <color rgb="FFFFFFFF"/>
      <name val="Arial"/>
      <charset val="1"/>
    </font>
    <font>
      <b/>
      <sz val="11"/>
      <color rgb="FF075B2A"/>
      <name val="Arial"/>
      <charset val="1"/>
    </font>
    <font>
      <b/>
      <sz val="11"/>
      <color rgb="FF000000"/>
      <name val="Arial"/>
      <charset val="1"/>
    </font>
    <font>
      <sz val="11"/>
      <color rgb="FF0000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0A7F3F"/>
        <bgColor rgb="FF008080"/>
      </patternFill>
    </fill>
    <fill>
      <patternFill patternType="solid">
        <fgColor rgb="FF075B2A"/>
        <bgColor rgb="FF0A7F3F"/>
      </patternFill>
    </fill>
    <fill>
      <patternFill patternType="solid">
        <fgColor rgb="FFEAF4EE"/>
        <bgColor rgb="FFF9F9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B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165" fontId="3" fillId="0" borderId="1" xfId="0" applyNumberFormat="1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165" fontId="7" fillId="0" borderId="1" xfId="0" applyNumberFormat="1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4" borderId="0" xfId="0" applyFont="1" applyFill="1" applyAlignment="1">
      <alignment vertical="top" wrapText="1"/>
    </xf>
    <xf numFmtId="15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6"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A7F3F"/>
      <rgbColor rgb="FF000080"/>
      <rgbColor rgb="FF808000"/>
      <rgbColor rgb="FF800080"/>
      <rgbColor rgb="FF008080"/>
      <rgbColor rgb="FFB7C9BD"/>
      <rgbColor rgb="FF878787"/>
      <rgbColor rgb="FF9999FF"/>
      <rgbColor rgb="FF993366"/>
      <rgbColor rgb="FFFFF2CC"/>
      <rgbColor rgb="FFEAF4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75B2A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Materiality Thresholds (SAR '000)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'07_Audit_Summary'!$A$14:$A$16</c:f>
              <c:strCache>
                <c:ptCount val="3"/>
                <c:pt idx="0">
                  <c:v>Overall materiality</c:v>
                </c:pt>
                <c:pt idx="1">
                  <c:v>Performance materiality</c:v>
                </c:pt>
                <c:pt idx="2">
                  <c:v>Clearly trivial threshold</c:v>
                </c:pt>
              </c:strCache>
            </c:strRef>
          </c:cat>
          <c:val>
            <c:numRef>
              <c:f>'07_Audit_Summary'!$B$14:$B$16</c:f>
              <c:numCache>
                <c:formatCode>#,##0;\(#,##0\);\-</c:formatCode>
                <c:ptCount val="3"/>
                <c:pt idx="0">
                  <c:v>53867.850000000006</c:v>
                </c:pt>
                <c:pt idx="1">
                  <c:v>40400.887500000004</c:v>
                </c:pt>
                <c:pt idx="2">
                  <c:v>2693.3925000000004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6-4C6B-9DB3-A161804D1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70645"/>
        <c:axId val="36166204"/>
      </c:barChart>
      <c:catAx>
        <c:axId val="267064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SAR '000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166204"/>
        <c:crosses val="autoZero"/>
        <c:auto val="1"/>
        <c:lblAlgn val="ctr"/>
        <c:lblOffset val="100"/>
        <c:noMultiLvlLbl val="0"/>
      </c:catAx>
      <c:valAx>
        <c:axId val="3616620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Threshold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706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868762</xdr:colOff>
      <xdr:row>11</xdr:row>
      <xdr:rowOff>17930</xdr:rowOff>
    </xdr:from>
    <xdr:to>
      <xdr:col>7</xdr:col>
      <xdr:colOff>447420</xdr:colOff>
      <xdr:row>20</xdr:row>
      <xdr:rowOff>138546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RiskAssessment" displayName="RiskAssessment" ref="A4:L9" totalsRowShown="0">
  <autoFilter ref="A4:L9" xr:uid="{00000000-0009-0000-0100-000004000000}"/>
  <tableColumns count="12">
    <tableColumn id="1" xr3:uid="{00000000-0010-0000-0000-000001000000}" name="Risk ID"/>
    <tableColumn id="2" xr3:uid="{00000000-0010-0000-0000-000002000000}" name="Area"/>
    <tableColumn id="3" xr3:uid="{00000000-0010-0000-0000-000003000000}" name="Risk description"/>
    <tableColumn id="4" xr3:uid="{00000000-0010-0000-0000-000004000000}" name="Rationale / source"/>
    <tableColumn id="5" xr3:uid="{00000000-0010-0000-0000-000005000000}" name="Assertion"/>
    <tableColumn id="6" xr3:uid="{00000000-0010-0000-0000-000006000000}" name="Inherent risk"/>
    <tableColumn id="7" xr3:uid="{00000000-0010-0000-0000-000007000000}" name="Control risk"/>
    <tableColumn id="8" xr3:uid="{00000000-0010-0000-0000-000008000000}" name="Overall risk"/>
    <tableColumn id="9" xr3:uid="{00000000-0010-0000-0000-000009000000}" name="Significant risk?"/>
    <tableColumn id="10" xr3:uid="{00000000-0010-0000-0000-00000A000000}" name="Planned response"/>
    <tableColumn id="11" xr3:uid="{00000000-0010-0000-0000-00000B000000}" name="Related worksheet"/>
    <tableColumn id="12" xr3:uid="{00000000-0010-0000-0000-00000C000000}" name="Statu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RevenueSample" displayName="RevenueSample" ref="A14:R26" totalsRowShown="0">
  <autoFilter ref="A14:R26" xr:uid="{00000000-0009-0000-0100-000003000000}"/>
  <tableColumns count="18">
    <tableColumn id="1" xr3:uid="{00000000-0010-0000-0100-000001000000}" name="Sample ID"/>
    <tableColumn id="2" xr3:uid="{00000000-0010-0000-0100-000002000000}" name="Transaction ID"/>
    <tableColumn id="3" xr3:uid="{00000000-0010-0000-0100-000003000000}" name="Transaction date"/>
    <tableColumn id="4" xr3:uid="{00000000-0010-0000-0100-000004000000}" name="Invoice date"/>
    <tableColumn id="5" xr3:uid="{00000000-0010-0000-0100-000005000000}" name="Invoice no."/>
    <tableColumn id="6" xr3:uid="{00000000-0010-0000-0100-000006000000}" name="Customer ref."/>
    <tableColumn id="7" xr3:uid="{00000000-0010-0000-0100-000007000000}" name="Description"/>
    <tableColumn id="8" xr3:uid="{00000000-0010-0000-0100-000008000000}" name="Invoice amount"/>
    <tableColumn id="9" xr3:uid="{00000000-0010-0000-0100-000009000000}" name="Ledger amount"/>
    <tableColumn id="10" xr3:uid="{00000000-0010-0000-0100-00000A000000}" name="Fulfillment date"/>
    <tableColumn id="11" xr3:uid="{00000000-0010-0000-0100-00000B000000}" name="Recognition date"/>
    <tableColumn id="12" xr3:uid="{00000000-0010-0000-0100-00000C000000}" name="Credit note / return"/>
    <tableColumn id="13" xr3:uid="{00000000-0010-0000-0100-00000D000000}" name="Support status"/>
    <tableColumn id="14" xr3:uid="{00000000-0010-0000-0100-00000E000000}" name="Difference"/>
    <tableColumn id="15" xr3:uid="{00000000-0010-0000-0100-00000F000000}" name="Test result"/>
    <tableColumn id="16" xr3:uid="{00000000-0010-0000-0100-000010000000}" name="Exception description"/>
    <tableColumn id="17" xr3:uid="{00000000-0010-0000-0100-000011000000}" name="Audit conclusion"/>
    <tableColumn id="18" xr3:uid="{00000000-0010-0000-0100-000012000000}" name="Reviewer not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InventorySample" displayName="InventorySample" ref="A16:Q28" totalsRowShown="0">
  <autoFilter ref="A16:Q28" xr:uid="{00000000-0009-0000-0100-000002000000}"/>
  <tableColumns count="17">
    <tableColumn id="1" xr3:uid="{00000000-0010-0000-0200-000001000000}" name="Item ID"/>
    <tableColumn id="2" xr3:uid="{00000000-0010-0000-0200-000002000000}" name="Fictional SKU"/>
    <tableColumn id="3" xr3:uid="{00000000-0010-0000-0200-000003000000}" name="Description"/>
    <tableColumn id="4" xr3:uid="{00000000-0010-0000-0200-000004000000}" name="Recorded qty"/>
    <tableColumn id="5" xr3:uid="{00000000-0010-0000-0200-000005000000}" name="Count qty"/>
    <tableColumn id="6" xr3:uid="{00000000-0010-0000-0200-000006000000}" name="Qty difference"/>
    <tableColumn id="7" xr3:uid="{00000000-0010-0000-0200-000007000000}" name="Unit cost"/>
    <tableColumn id="8" xr3:uid="{00000000-0010-0000-0200-000008000000}" name="Recorded value"/>
    <tableColumn id="9" xr3:uid="{00000000-0010-0000-0200-000009000000}" name="Recalculated value"/>
    <tableColumn id="10" xr3:uid="{00000000-0010-0000-0200-00000A000000}" name="Value difference"/>
    <tableColumn id="11" xr3:uid="{00000000-0010-0000-0200-00000B000000}" name="Condition"/>
    <tableColumn id="12" xr3:uid="{00000000-0010-0000-0200-00000C000000}" name="Obsolescence indicator"/>
    <tableColumn id="13" xr3:uid="{00000000-0010-0000-0200-00000D000000}" name="Evidence status"/>
    <tableColumn id="14" xr3:uid="{00000000-0010-0000-0200-00000E000000}" name="Test result"/>
    <tableColumn id="15" xr3:uid="{00000000-0010-0000-0200-00000F000000}" name="Exception description"/>
    <tableColumn id="16" xr3:uid="{00000000-0010-0000-0200-000010000000}" name="Recommended follow-up"/>
    <tableColumn id="17" xr3:uid="{00000000-0010-0000-0200-000011000000}" name="Conclusion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FindingsRegister" displayName="FindingsRegister" ref="A4:N10" totalsRowShown="0">
  <autoFilter ref="A4:N10" xr:uid="{00000000-0009-0000-0100-000001000000}"/>
  <tableColumns count="14">
    <tableColumn id="1" xr3:uid="{00000000-0010-0000-0300-000001000000}" name="Finding ID"/>
    <tableColumn id="2" xr3:uid="{00000000-0010-0000-0300-000002000000}" name="Procedure"/>
    <tableColumn id="3" xr3:uid="{00000000-0010-0000-0300-000003000000}" name="Account"/>
    <tableColumn id="4" xr3:uid="{00000000-0010-0000-0300-000004000000}" name="Condition"/>
    <tableColumn id="5" xr3:uid="{00000000-0010-0000-0300-000005000000}" name="Criterion / policy"/>
    <tableColumn id="6" xr3:uid="{00000000-0010-0000-0300-000006000000}" name="Illustrative cause"/>
    <tableColumn id="7" xr3:uid="{00000000-0010-0000-0300-000007000000}" name="Potential impact"/>
    <tableColumn id="8" xr3:uid="{00000000-0010-0000-0300-000008000000}" name="Overall materiality comparison"/>
    <tableColumn id="9" xr3:uid="{00000000-0010-0000-0300-000009000000}" name="Risk implication"/>
    <tableColumn id="10" xr3:uid="{00000000-0010-0000-0300-00000A000000}" name="Recommended action"/>
    <tableColumn id="11" xr3:uid="{00000000-0010-0000-0300-00000B000000}" name="Simulated management response"/>
    <tableColumn id="12" xr3:uid="{00000000-0010-0000-0300-00000C000000}" name="Status"/>
    <tableColumn id="13" xr3:uid="{00000000-0010-0000-0300-00000D000000}" name="Conclusion"/>
    <tableColumn id="14" xr3:uid="{00000000-0010-0000-0300-00000E000000}" name="Referenc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A7F3F"/>
    <pageSetUpPr fitToPage="1"/>
  </sheetPr>
  <dimension ref="A1:H32"/>
  <sheetViews>
    <sheetView showGridLines="0" tabSelected="1" zoomScale="81" zoomScaleNormal="85" workbookViewId="0">
      <pane ySplit="4" topLeftCell="A5" activePane="bottomLeft" state="frozen"/>
      <selection pane="bottomLeft" activeCell="B10" sqref="B10"/>
    </sheetView>
  </sheetViews>
  <sheetFormatPr defaultColWidth="8.5546875" defaultRowHeight="14.4" x14ac:dyDescent="0.3"/>
  <cols>
    <col min="1" max="1" width="28" customWidth="1"/>
    <col min="2" max="2" width="58" customWidth="1"/>
    <col min="3" max="4" width="17" customWidth="1"/>
    <col min="5" max="5" width="45" customWidth="1"/>
    <col min="6" max="6" width="40" customWidth="1"/>
    <col min="7" max="8" width="14" customWidth="1"/>
  </cols>
  <sheetData>
    <row r="1" spans="1:8" ht="27" customHeight="1" x14ac:dyDescent="0.3">
      <c r="A1" s="9" t="s">
        <v>0</v>
      </c>
      <c r="B1" s="9"/>
      <c r="C1" s="9"/>
      <c r="D1" s="9"/>
      <c r="E1" s="9"/>
      <c r="F1" s="9"/>
      <c r="G1" s="9"/>
      <c r="H1" s="9"/>
    </row>
    <row r="2" spans="1:8" ht="21.75" customHeight="1" x14ac:dyDescent="0.3">
      <c r="A2" s="10" t="s">
        <v>1</v>
      </c>
      <c r="B2" s="10"/>
      <c r="C2" s="10"/>
      <c r="D2" s="10"/>
      <c r="E2" s="10"/>
      <c r="F2" s="10"/>
      <c r="G2" s="10"/>
      <c r="H2" s="10"/>
    </row>
    <row r="3" spans="1:8" x14ac:dyDescent="0.3">
      <c r="A3" s="2"/>
      <c r="B3" s="2"/>
      <c r="C3" s="2"/>
      <c r="D3" s="2"/>
      <c r="E3" s="2"/>
      <c r="F3" s="2"/>
      <c r="G3" s="2"/>
      <c r="H3" s="2"/>
    </row>
    <row r="4" spans="1:8" ht="15" customHeight="1" x14ac:dyDescent="0.3">
      <c r="A4" s="11" t="s">
        <v>2</v>
      </c>
      <c r="B4" s="11"/>
      <c r="C4" s="11"/>
      <c r="D4" s="11"/>
      <c r="E4" s="11"/>
      <c r="F4" s="11"/>
      <c r="G4" s="11"/>
      <c r="H4" s="11"/>
    </row>
    <row r="5" spans="1:8" x14ac:dyDescent="0.3">
      <c r="A5" s="3" t="s">
        <v>3</v>
      </c>
      <c r="B5" s="1" t="s">
        <v>4</v>
      </c>
      <c r="C5" s="2"/>
      <c r="D5" s="2"/>
      <c r="E5" s="2"/>
      <c r="F5" s="2"/>
      <c r="G5" s="2"/>
      <c r="H5" s="2"/>
    </row>
    <row r="6" spans="1:8" x14ac:dyDescent="0.3">
      <c r="A6" s="3" t="s">
        <v>5</v>
      </c>
      <c r="B6" s="1" t="s">
        <v>6</v>
      </c>
      <c r="C6" s="2"/>
      <c r="D6" s="2"/>
      <c r="E6" s="2"/>
      <c r="F6" s="2"/>
      <c r="G6" s="2"/>
      <c r="H6" s="2"/>
    </row>
    <row r="7" spans="1:8" x14ac:dyDescent="0.3">
      <c r="A7" s="3" t="s">
        <v>7</v>
      </c>
      <c r="B7" s="1" t="s">
        <v>8</v>
      </c>
      <c r="C7" s="2"/>
      <c r="D7" s="2"/>
      <c r="E7" s="2"/>
      <c r="F7" s="2"/>
      <c r="G7" s="2"/>
      <c r="H7" s="2"/>
    </row>
    <row r="8" spans="1:8" x14ac:dyDescent="0.3">
      <c r="A8" s="3" t="s">
        <v>9</v>
      </c>
      <c r="B8" s="1" t="s">
        <v>10</v>
      </c>
      <c r="C8" s="2"/>
      <c r="D8" s="2"/>
      <c r="E8" s="2"/>
      <c r="F8" s="2"/>
      <c r="G8" s="2"/>
      <c r="H8" s="2"/>
    </row>
    <row r="9" spans="1:8" x14ac:dyDescent="0.3">
      <c r="A9" s="3" t="s">
        <v>11</v>
      </c>
      <c r="B9" s="1" t="s">
        <v>407</v>
      </c>
      <c r="C9" s="2"/>
      <c r="D9" s="2"/>
      <c r="E9" s="2"/>
      <c r="F9" s="2"/>
      <c r="G9" s="2"/>
      <c r="H9" s="2"/>
    </row>
    <row r="10" spans="1:8" x14ac:dyDescent="0.3">
      <c r="A10" s="3" t="s">
        <v>12</v>
      </c>
      <c r="B10" s="14">
        <v>46255</v>
      </c>
      <c r="C10" s="2"/>
      <c r="D10" s="2"/>
      <c r="E10" s="2"/>
      <c r="F10" s="2"/>
      <c r="G10" s="2"/>
      <c r="H10" s="2"/>
    </row>
    <row r="11" spans="1:8" x14ac:dyDescent="0.3">
      <c r="A11" s="3" t="s">
        <v>13</v>
      </c>
      <c r="B11" s="1" t="s">
        <v>14</v>
      </c>
      <c r="C11" s="2"/>
      <c r="D11" s="2"/>
      <c r="E11" s="2"/>
      <c r="F11" s="2"/>
      <c r="G11" s="2"/>
      <c r="H11" s="2"/>
    </row>
    <row r="12" spans="1:8" x14ac:dyDescent="0.3">
      <c r="A12" s="2"/>
      <c r="B12" s="2"/>
      <c r="C12" s="2"/>
      <c r="D12" s="2"/>
      <c r="E12" s="2"/>
      <c r="F12" s="2"/>
      <c r="G12" s="2"/>
      <c r="H12" s="2"/>
    </row>
    <row r="13" spans="1:8" ht="15" customHeight="1" x14ac:dyDescent="0.3">
      <c r="A13" s="11" t="s">
        <v>15</v>
      </c>
      <c r="B13" s="11"/>
      <c r="C13" s="11"/>
      <c r="D13" s="11"/>
      <c r="E13" s="11"/>
      <c r="F13" s="11"/>
      <c r="G13" s="11"/>
      <c r="H13" s="11"/>
    </row>
    <row r="14" spans="1:8" ht="27.6" x14ac:dyDescent="0.3">
      <c r="A14" s="3" t="s">
        <v>16</v>
      </c>
      <c r="B14" s="1" t="s">
        <v>17</v>
      </c>
      <c r="C14" s="2"/>
      <c r="D14" s="2"/>
      <c r="E14" s="2"/>
      <c r="F14" s="2"/>
      <c r="G14" s="2"/>
      <c r="H14" s="2"/>
    </row>
    <row r="15" spans="1:8" ht="41.4" x14ac:dyDescent="0.3">
      <c r="A15" s="3" t="s">
        <v>18</v>
      </c>
      <c r="B15" s="1" t="s">
        <v>19</v>
      </c>
      <c r="C15" s="2"/>
      <c r="D15" s="2"/>
      <c r="E15" s="2"/>
      <c r="F15" s="2"/>
      <c r="G15" s="2"/>
      <c r="H15" s="2"/>
    </row>
    <row r="16" spans="1:8" ht="27.6" x14ac:dyDescent="0.3">
      <c r="A16" s="3" t="s">
        <v>20</v>
      </c>
      <c r="B16" s="1" t="s">
        <v>21</v>
      </c>
      <c r="C16" s="2"/>
      <c r="D16" s="2"/>
      <c r="E16" s="2"/>
      <c r="F16" s="2"/>
      <c r="G16" s="2"/>
      <c r="H16" s="2"/>
    </row>
    <row r="17" spans="1:8" ht="41.4" x14ac:dyDescent="0.3">
      <c r="A17" s="3" t="s">
        <v>22</v>
      </c>
      <c r="B17" s="1" t="s">
        <v>23</v>
      </c>
      <c r="C17" s="2"/>
      <c r="D17" s="2"/>
      <c r="E17" s="2"/>
      <c r="F17" s="2"/>
      <c r="G17" s="2"/>
      <c r="H17" s="2"/>
    </row>
    <row r="18" spans="1:8" x14ac:dyDescent="0.3">
      <c r="A18" s="2"/>
      <c r="B18" s="2"/>
      <c r="C18" s="2"/>
      <c r="D18" s="2"/>
      <c r="E18" s="2"/>
      <c r="F18" s="2"/>
      <c r="G18" s="2"/>
      <c r="H18" s="2"/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ht="15" customHeight="1" x14ac:dyDescent="0.3">
      <c r="A20" s="11" t="s">
        <v>24</v>
      </c>
      <c r="B20" s="11"/>
      <c r="C20" s="11"/>
      <c r="D20" s="11"/>
      <c r="E20" s="11"/>
      <c r="F20" s="11"/>
      <c r="G20" s="11"/>
      <c r="H20" s="11"/>
    </row>
    <row r="21" spans="1:8" ht="31.5" customHeight="1" x14ac:dyDescent="0.3">
      <c r="A21" s="4" t="s">
        <v>25</v>
      </c>
      <c r="B21" s="4" t="s">
        <v>26</v>
      </c>
      <c r="C21" s="4" t="s">
        <v>27</v>
      </c>
      <c r="D21" s="4" t="s">
        <v>28</v>
      </c>
      <c r="E21" s="4" t="s">
        <v>29</v>
      </c>
      <c r="F21" s="4" t="s">
        <v>30</v>
      </c>
      <c r="G21" s="2"/>
      <c r="H21" s="2"/>
    </row>
    <row r="22" spans="1:8" ht="27.6" x14ac:dyDescent="0.3">
      <c r="A22" s="1" t="s">
        <v>31</v>
      </c>
      <c r="B22" s="5">
        <v>10906512</v>
      </c>
      <c r="C22" s="5">
        <v>11449790</v>
      </c>
      <c r="D22" s="6">
        <f>(C22-B22)/B22</f>
        <v>4.9812258951349435E-2</v>
      </c>
      <c r="E22" s="1" t="s">
        <v>32</v>
      </c>
      <c r="F22" s="1" t="s">
        <v>33</v>
      </c>
      <c r="G22" s="2"/>
      <c r="H22" s="2"/>
    </row>
    <row r="23" spans="1:8" ht="27.6" x14ac:dyDescent="0.3">
      <c r="A23" s="1" t="s">
        <v>34</v>
      </c>
      <c r="B23" s="5">
        <v>1004520</v>
      </c>
      <c r="C23" s="5">
        <v>1077357</v>
      </c>
      <c r="D23" s="6">
        <f>(C23-B23)/B23</f>
        <v>7.2509258153147765E-2</v>
      </c>
      <c r="E23" s="1" t="s">
        <v>32</v>
      </c>
      <c r="F23" s="1" t="s">
        <v>33</v>
      </c>
      <c r="G23" s="2"/>
      <c r="H23" s="2"/>
    </row>
    <row r="24" spans="1:8" ht="27.6" x14ac:dyDescent="0.3">
      <c r="A24" s="1" t="s">
        <v>35</v>
      </c>
      <c r="B24" s="5">
        <v>2000000</v>
      </c>
      <c r="C24" s="5">
        <v>1940000</v>
      </c>
      <c r="D24" s="6">
        <f>(C24-B24)/B24</f>
        <v>-0.03</v>
      </c>
      <c r="E24" s="1" t="s">
        <v>36</v>
      </c>
      <c r="F24" s="1" t="s">
        <v>37</v>
      </c>
      <c r="G24" s="2"/>
      <c r="H24" s="2"/>
    </row>
    <row r="25" spans="1:8" x14ac:dyDescent="0.3">
      <c r="A25" s="2"/>
      <c r="B25" s="2"/>
      <c r="C25" s="2"/>
      <c r="D25" s="2"/>
      <c r="E25" s="2"/>
      <c r="F25" s="2"/>
      <c r="G25" s="2"/>
      <c r="H25" s="2"/>
    </row>
    <row r="26" spans="1:8" x14ac:dyDescent="0.3">
      <c r="A26" s="2"/>
      <c r="B26" s="2"/>
      <c r="C26" s="2"/>
      <c r="D26" s="2"/>
      <c r="E26" s="2"/>
      <c r="F26" s="2"/>
      <c r="G26" s="2"/>
      <c r="H26" s="2"/>
    </row>
    <row r="27" spans="1:8" x14ac:dyDescent="0.3">
      <c r="A27" s="2"/>
      <c r="B27" s="2"/>
      <c r="C27" s="2"/>
      <c r="D27" s="2"/>
      <c r="E27" s="2"/>
      <c r="F27" s="2"/>
      <c r="G27" s="2"/>
      <c r="H27" s="2"/>
    </row>
    <row r="28" spans="1:8" ht="15" customHeight="1" x14ac:dyDescent="0.3">
      <c r="A28" s="11" t="s">
        <v>38</v>
      </c>
      <c r="B28" s="11"/>
      <c r="C28" s="11"/>
      <c r="D28" s="11"/>
      <c r="E28" s="11"/>
      <c r="F28" s="11"/>
      <c r="G28" s="11"/>
      <c r="H28" s="11"/>
    </row>
    <row r="29" spans="1:8" ht="41.4" x14ac:dyDescent="0.3">
      <c r="A29" s="3" t="s">
        <v>39</v>
      </c>
      <c r="B29" s="1" t="s">
        <v>40</v>
      </c>
      <c r="C29" s="2"/>
      <c r="D29" s="2"/>
      <c r="E29" s="2"/>
      <c r="F29" s="2"/>
      <c r="G29" s="2"/>
      <c r="H29" s="2"/>
    </row>
    <row r="30" spans="1:8" ht="27.6" x14ac:dyDescent="0.3">
      <c r="A30" s="3" t="s">
        <v>41</v>
      </c>
      <c r="B30" s="1" t="s">
        <v>42</v>
      </c>
      <c r="C30" s="2"/>
      <c r="D30" s="2"/>
      <c r="E30" s="2"/>
      <c r="F30" s="2"/>
      <c r="G30" s="2"/>
      <c r="H30" s="2"/>
    </row>
    <row r="31" spans="1:8" ht="41.4" x14ac:dyDescent="0.3">
      <c r="A31" s="3" t="s">
        <v>43</v>
      </c>
      <c r="B31" s="1" t="s">
        <v>44</v>
      </c>
      <c r="C31" s="2"/>
      <c r="D31" s="2"/>
      <c r="E31" s="2"/>
      <c r="F31" s="2"/>
      <c r="G31" s="2"/>
      <c r="H31" s="2"/>
    </row>
    <row r="32" spans="1:8" ht="27.6" x14ac:dyDescent="0.3">
      <c r="A32" s="3" t="s">
        <v>45</v>
      </c>
      <c r="B32" s="1" t="s">
        <v>46</v>
      </c>
      <c r="C32" s="2"/>
      <c r="D32" s="2"/>
      <c r="E32" s="2"/>
      <c r="F32" s="2"/>
      <c r="G32" s="2"/>
      <c r="H32" s="2"/>
    </row>
  </sheetData>
  <mergeCells count="6">
    <mergeCell ref="A28:H28"/>
    <mergeCell ref="A1:H1"/>
    <mergeCell ref="A2:H2"/>
    <mergeCell ref="A4:H4"/>
    <mergeCell ref="A13:H13"/>
    <mergeCell ref="A20:H20"/>
  </mergeCells>
  <pageMargins left="0.25" right="0.2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A7F3F"/>
    <pageSetUpPr fitToPage="1"/>
  </sheetPr>
  <dimension ref="A1:L9"/>
  <sheetViews>
    <sheetView showGridLines="0" zoomScale="85" zoomScaleNormal="85" workbookViewId="0">
      <pane ySplit="4" topLeftCell="A5" activePane="bottomLeft" state="frozen"/>
      <selection pane="bottomLeft" sqref="A1:H1"/>
    </sheetView>
  </sheetViews>
  <sheetFormatPr defaultColWidth="8.5546875" defaultRowHeight="14.4" x14ac:dyDescent="0.3"/>
  <cols>
    <col min="1" max="1" width="10" customWidth="1"/>
    <col min="2" max="2" width="16" customWidth="1"/>
    <col min="3" max="3" width="38" customWidth="1"/>
    <col min="4" max="4" width="48" customWidth="1"/>
    <col min="5" max="5" width="22" customWidth="1"/>
    <col min="6" max="8" width="14" customWidth="1"/>
    <col min="9" max="9" width="16" customWidth="1"/>
    <col min="10" max="10" width="48" customWidth="1"/>
    <col min="11" max="11" width="22" customWidth="1"/>
    <col min="12" max="12" width="20" customWidth="1"/>
  </cols>
  <sheetData>
    <row r="1" spans="1:12" ht="27" customHeight="1" x14ac:dyDescent="0.3">
      <c r="A1" s="9" t="s">
        <v>47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</row>
    <row r="2" spans="1:12" ht="21.75" customHeight="1" x14ac:dyDescent="0.3">
      <c r="A2" s="10" t="s">
        <v>1</v>
      </c>
      <c r="B2" s="10"/>
      <c r="C2" s="10"/>
      <c r="D2" s="10"/>
      <c r="E2" s="10"/>
      <c r="F2" s="10"/>
      <c r="G2" s="10"/>
      <c r="H2" s="10"/>
      <c r="I2" s="2"/>
      <c r="J2" s="2"/>
      <c r="K2" s="2"/>
      <c r="L2" s="2"/>
    </row>
    <row r="3" spans="1:1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31.5" customHeight="1" x14ac:dyDescent="0.3">
      <c r="A4" s="4" t="s">
        <v>48</v>
      </c>
      <c r="B4" s="4" t="s">
        <v>49</v>
      </c>
      <c r="C4" s="4" t="s">
        <v>50</v>
      </c>
      <c r="D4" s="4" t="s">
        <v>51</v>
      </c>
      <c r="E4" s="4" t="s">
        <v>52</v>
      </c>
      <c r="F4" s="4" t="s">
        <v>53</v>
      </c>
      <c r="G4" s="4" t="s">
        <v>54</v>
      </c>
      <c r="H4" s="4" t="s">
        <v>55</v>
      </c>
      <c r="I4" s="4" t="s">
        <v>56</v>
      </c>
      <c r="J4" s="4" t="s">
        <v>57</v>
      </c>
      <c r="K4" s="4" t="s">
        <v>58</v>
      </c>
      <c r="L4" s="4" t="s">
        <v>59</v>
      </c>
    </row>
    <row r="5" spans="1:12" ht="41.4" x14ac:dyDescent="0.3">
      <c r="A5" s="1" t="s">
        <v>60</v>
      </c>
      <c r="B5" s="1" t="s">
        <v>31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64</v>
      </c>
      <c r="I5" s="1" t="s">
        <v>66</v>
      </c>
      <c r="J5" s="1" t="s">
        <v>67</v>
      </c>
      <c r="K5" s="1" t="s">
        <v>68</v>
      </c>
      <c r="L5" s="1" t="s">
        <v>69</v>
      </c>
    </row>
    <row r="6" spans="1:12" ht="27.6" x14ac:dyDescent="0.3">
      <c r="A6" s="1" t="s">
        <v>70</v>
      </c>
      <c r="B6" s="1" t="s">
        <v>31</v>
      </c>
      <c r="C6" s="1" t="s">
        <v>71</v>
      </c>
      <c r="D6" s="1" t="s">
        <v>72</v>
      </c>
      <c r="E6" s="1" t="s">
        <v>73</v>
      </c>
      <c r="F6" s="1" t="s">
        <v>65</v>
      </c>
      <c r="G6" s="1" t="s">
        <v>65</v>
      </c>
      <c r="H6" s="1" t="s">
        <v>65</v>
      </c>
      <c r="I6" s="1" t="s">
        <v>74</v>
      </c>
      <c r="J6" s="1" t="s">
        <v>75</v>
      </c>
      <c r="K6" s="1" t="s">
        <v>68</v>
      </c>
      <c r="L6" s="1" t="s">
        <v>69</v>
      </c>
    </row>
    <row r="7" spans="1:12" ht="27.6" x14ac:dyDescent="0.3">
      <c r="A7" s="1" t="s">
        <v>76</v>
      </c>
      <c r="B7" s="1" t="s">
        <v>77</v>
      </c>
      <c r="C7" s="1" t="s">
        <v>78</v>
      </c>
      <c r="D7" s="1" t="s">
        <v>79</v>
      </c>
      <c r="E7" s="1" t="s">
        <v>80</v>
      </c>
      <c r="F7" s="1" t="s">
        <v>64</v>
      </c>
      <c r="G7" s="1" t="s">
        <v>65</v>
      </c>
      <c r="H7" s="1" t="s">
        <v>64</v>
      </c>
      <c r="I7" s="1" t="s">
        <v>66</v>
      </c>
      <c r="J7" s="1" t="s">
        <v>81</v>
      </c>
      <c r="K7" s="1" t="s">
        <v>82</v>
      </c>
      <c r="L7" s="1" t="s">
        <v>69</v>
      </c>
    </row>
    <row r="8" spans="1:12" ht="41.4" x14ac:dyDescent="0.3">
      <c r="A8" s="1" t="s">
        <v>83</v>
      </c>
      <c r="B8" s="1" t="s">
        <v>77</v>
      </c>
      <c r="C8" s="1" t="s">
        <v>84</v>
      </c>
      <c r="D8" s="1" t="s">
        <v>85</v>
      </c>
      <c r="E8" s="1" t="s">
        <v>86</v>
      </c>
      <c r="F8" s="1" t="s">
        <v>64</v>
      </c>
      <c r="G8" s="1" t="s">
        <v>65</v>
      </c>
      <c r="H8" s="1" t="s">
        <v>64</v>
      </c>
      <c r="I8" s="1" t="s">
        <v>66</v>
      </c>
      <c r="J8" s="1" t="s">
        <v>87</v>
      </c>
      <c r="K8" s="1" t="s">
        <v>82</v>
      </c>
      <c r="L8" s="1" t="s">
        <v>69</v>
      </c>
    </row>
    <row r="9" spans="1:12" ht="27.6" x14ac:dyDescent="0.3">
      <c r="A9" s="1" t="s">
        <v>88</v>
      </c>
      <c r="B9" s="1" t="s">
        <v>77</v>
      </c>
      <c r="C9" s="1" t="s">
        <v>89</v>
      </c>
      <c r="D9" s="1" t="s">
        <v>90</v>
      </c>
      <c r="E9" s="1" t="s">
        <v>91</v>
      </c>
      <c r="F9" s="1" t="s">
        <v>65</v>
      </c>
      <c r="G9" s="1" t="s">
        <v>65</v>
      </c>
      <c r="H9" s="1" t="s">
        <v>65</v>
      </c>
      <c r="I9" s="1" t="s">
        <v>74</v>
      </c>
      <c r="J9" s="1" t="s">
        <v>92</v>
      </c>
      <c r="K9" s="1" t="s">
        <v>82</v>
      </c>
      <c r="L9" s="1" t="s">
        <v>69</v>
      </c>
    </row>
  </sheetData>
  <mergeCells count="2">
    <mergeCell ref="A1:H1"/>
    <mergeCell ref="A2:H2"/>
  </mergeCells>
  <conditionalFormatting sqref="H5:H9">
    <cfRule type="expression" dxfId="5" priority="2">
      <formula>H5="High"</formula>
    </cfRule>
  </conditionalFormatting>
  <conditionalFormatting sqref="L5:L9">
    <cfRule type="expression" dxfId="4" priority="3">
      <formula>OR(L5="Requires Follow-up",L5="Exception Identified")</formula>
    </cfRule>
  </conditionalFormatting>
  <pageMargins left="0.25" right="0.2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A7F3F"/>
    <pageSetUpPr fitToPage="1"/>
  </sheetPr>
  <dimension ref="A1:H24"/>
  <sheetViews>
    <sheetView showGridLines="0" zoomScale="85" zoomScaleNormal="85" workbookViewId="0">
      <pane ySplit="4" topLeftCell="A12" activePane="bottomLeft" state="frozen"/>
      <selection pane="bottomLeft" sqref="A1:H1"/>
    </sheetView>
  </sheetViews>
  <sheetFormatPr defaultColWidth="8.5546875" defaultRowHeight="14.4" x14ac:dyDescent="0.3"/>
  <cols>
    <col min="1" max="1" width="30" customWidth="1"/>
    <col min="2" max="2" width="48" customWidth="1"/>
    <col min="3" max="3" width="20" customWidth="1"/>
    <col min="4" max="4" width="48" customWidth="1"/>
    <col min="5" max="8" width="14" customWidth="1"/>
  </cols>
  <sheetData>
    <row r="1" spans="1:8" ht="27" customHeight="1" x14ac:dyDescent="0.3">
      <c r="A1" s="9" t="s">
        <v>93</v>
      </c>
      <c r="B1" s="9"/>
      <c r="C1" s="9"/>
      <c r="D1" s="9"/>
      <c r="E1" s="9"/>
      <c r="F1" s="9"/>
      <c r="G1" s="9"/>
      <c r="H1" s="9"/>
    </row>
    <row r="2" spans="1:8" ht="21.75" customHeight="1" x14ac:dyDescent="0.3">
      <c r="A2" s="10" t="s">
        <v>1</v>
      </c>
      <c r="B2" s="10"/>
      <c r="C2" s="10"/>
      <c r="D2" s="10"/>
      <c r="E2" s="10"/>
      <c r="F2" s="10"/>
      <c r="G2" s="10"/>
      <c r="H2" s="10"/>
    </row>
    <row r="3" spans="1:8" x14ac:dyDescent="0.3">
      <c r="A3" s="2"/>
      <c r="B3" s="2"/>
      <c r="C3" s="2"/>
      <c r="D3" s="2"/>
      <c r="E3" s="2"/>
      <c r="F3" s="2"/>
      <c r="G3" s="2"/>
      <c r="H3" s="2"/>
    </row>
    <row r="4" spans="1:8" ht="15" customHeight="1" x14ac:dyDescent="0.3">
      <c r="A4" s="11" t="s">
        <v>94</v>
      </c>
      <c r="B4" s="11"/>
      <c r="C4" s="11"/>
      <c r="D4" s="11"/>
      <c r="E4" s="11"/>
      <c r="F4" s="11"/>
      <c r="G4" s="11"/>
      <c r="H4" s="11"/>
    </row>
    <row r="5" spans="1:8" x14ac:dyDescent="0.3">
      <c r="A5" s="3" t="s">
        <v>95</v>
      </c>
      <c r="B5" s="1" t="s">
        <v>96</v>
      </c>
      <c r="C5" s="2"/>
      <c r="D5" s="2"/>
      <c r="E5" s="2"/>
      <c r="F5" s="2"/>
      <c r="G5" s="2"/>
      <c r="H5" s="2"/>
    </row>
    <row r="6" spans="1:8" x14ac:dyDescent="0.3">
      <c r="A6" s="3" t="s">
        <v>97</v>
      </c>
      <c r="B6" s="5">
        <v>1077357</v>
      </c>
      <c r="C6" s="2"/>
      <c r="D6" s="2"/>
      <c r="E6" s="2"/>
      <c r="F6" s="2"/>
      <c r="G6" s="2"/>
      <c r="H6" s="2"/>
    </row>
    <row r="7" spans="1:8" x14ac:dyDescent="0.3">
      <c r="A7" s="3" t="s">
        <v>98</v>
      </c>
      <c r="B7" s="1" t="s">
        <v>99</v>
      </c>
      <c r="C7" s="2"/>
      <c r="D7" s="2"/>
      <c r="E7" s="2"/>
      <c r="F7" s="2"/>
      <c r="G7" s="2"/>
      <c r="H7" s="2"/>
    </row>
    <row r="8" spans="1:8" ht="69" x14ac:dyDescent="0.3">
      <c r="A8" s="3" t="s">
        <v>100</v>
      </c>
      <c r="B8" s="1" t="s">
        <v>101</v>
      </c>
      <c r="C8" s="2"/>
      <c r="D8" s="2"/>
      <c r="E8" s="2"/>
      <c r="F8" s="2"/>
      <c r="G8" s="2"/>
      <c r="H8" s="2"/>
    </row>
    <row r="9" spans="1:8" x14ac:dyDescent="0.3">
      <c r="A9" s="2"/>
      <c r="B9" s="2"/>
      <c r="C9" s="2"/>
      <c r="D9" s="2"/>
      <c r="E9" s="2"/>
      <c r="F9" s="2"/>
      <c r="G9" s="2"/>
      <c r="H9" s="2"/>
    </row>
    <row r="10" spans="1:8" x14ac:dyDescent="0.3">
      <c r="A10" s="2"/>
      <c r="B10" s="2"/>
      <c r="C10" s="2"/>
      <c r="D10" s="2"/>
      <c r="E10" s="2"/>
      <c r="F10" s="2"/>
      <c r="G10" s="2"/>
      <c r="H10" s="2"/>
    </row>
    <row r="11" spans="1:8" ht="15" customHeight="1" x14ac:dyDescent="0.3">
      <c r="A11" s="11" t="s">
        <v>102</v>
      </c>
      <c r="B11" s="11"/>
      <c r="C11" s="11"/>
      <c r="D11" s="11"/>
      <c r="E11" s="11"/>
      <c r="F11" s="11"/>
      <c r="G11" s="11"/>
      <c r="H11" s="11"/>
    </row>
    <row r="12" spans="1:8" ht="31.5" customHeight="1" x14ac:dyDescent="0.3">
      <c r="A12" s="4" t="s">
        <v>103</v>
      </c>
      <c r="B12" s="4" t="s">
        <v>104</v>
      </c>
      <c r="C12" s="4" t="s">
        <v>105</v>
      </c>
      <c r="D12" s="4" t="s">
        <v>106</v>
      </c>
      <c r="E12" s="2"/>
      <c r="F12" s="2"/>
      <c r="G12" s="2"/>
      <c r="H12" s="2"/>
    </row>
    <row r="13" spans="1:8" x14ac:dyDescent="0.3">
      <c r="A13" s="1" t="s">
        <v>107</v>
      </c>
      <c r="B13" s="1" t="s">
        <v>108</v>
      </c>
      <c r="C13" s="7">
        <f>B6*B14</f>
        <v>53867.850000000006</v>
      </c>
      <c r="D13" s="1" t="s">
        <v>109</v>
      </c>
      <c r="E13" s="2"/>
      <c r="F13" s="2"/>
      <c r="G13" s="2"/>
      <c r="H13" s="2"/>
    </row>
    <row r="14" spans="1:8" x14ac:dyDescent="0.3">
      <c r="A14" s="1" t="s">
        <v>110</v>
      </c>
      <c r="B14" s="8">
        <v>0.05</v>
      </c>
      <c r="C14" s="7">
        <f>C13*B15</f>
        <v>40400.887500000004</v>
      </c>
      <c r="D14" s="1" t="s">
        <v>111</v>
      </c>
      <c r="E14" s="2"/>
      <c r="F14" s="2"/>
      <c r="G14" s="2"/>
      <c r="H14" s="2"/>
    </row>
    <row r="15" spans="1:8" ht="27.6" x14ac:dyDescent="0.3">
      <c r="A15" s="1" t="s">
        <v>112</v>
      </c>
      <c r="B15" s="8">
        <v>0.75</v>
      </c>
      <c r="C15" s="7">
        <f>C13*B16</f>
        <v>2693.3925000000004</v>
      </c>
      <c r="D15" s="1" t="s">
        <v>113</v>
      </c>
      <c r="E15" s="2"/>
      <c r="F15" s="2"/>
      <c r="G15" s="2"/>
      <c r="H15" s="2"/>
    </row>
    <row r="16" spans="1:8" x14ac:dyDescent="0.3">
      <c r="A16" s="2"/>
      <c r="B16" s="8">
        <v>0.05</v>
      </c>
      <c r="C16" s="2"/>
      <c r="D16" s="2"/>
      <c r="E16" s="2"/>
      <c r="F16" s="2"/>
      <c r="G16" s="2"/>
      <c r="H16" s="2"/>
    </row>
    <row r="17" spans="1:8" x14ac:dyDescent="0.3">
      <c r="A17" s="2"/>
      <c r="B17" s="2"/>
      <c r="C17" s="2"/>
      <c r="D17" s="2"/>
      <c r="E17" s="2"/>
      <c r="F17" s="2"/>
      <c r="G17" s="2"/>
      <c r="H17" s="2"/>
    </row>
    <row r="18" spans="1:8" x14ac:dyDescent="0.3">
      <c r="A18" s="2"/>
      <c r="B18" s="2"/>
      <c r="C18" s="2"/>
      <c r="D18" s="2"/>
      <c r="E18" s="2"/>
      <c r="F18" s="2"/>
      <c r="G18" s="2"/>
      <c r="H18" s="2"/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ht="15" customHeight="1" x14ac:dyDescent="0.3">
      <c r="A20" s="11" t="s">
        <v>114</v>
      </c>
      <c r="B20" s="11"/>
      <c r="C20" s="11"/>
      <c r="D20" s="11"/>
      <c r="E20" s="11"/>
      <c r="F20" s="11"/>
      <c r="G20" s="11"/>
      <c r="H20" s="11"/>
    </row>
    <row r="21" spans="1:8" ht="41.4" x14ac:dyDescent="0.3">
      <c r="A21" s="1" t="s">
        <v>115</v>
      </c>
      <c r="B21" s="2"/>
      <c r="C21" s="2"/>
      <c r="D21" s="2"/>
      <c r="E21" s="2"/>
      <c r="F21" s="2"/>
      <c r="G21" s="2"/>
      <c r="H21" s="2"/>
    </row>
    <row r="22" spans="1:8" ht="69" x14ac:dyDescent="0.3">
      <c r="A22" s="1" t="s">
        <v>116</v>
      </c>
      <c r="B22" s="2"/>
      <c r="C22" s="2"/>
      <c r="D22" s="2"/>
      <c r="E22" s="2"/>
      <c r="F22" s="2"/>
      <c r="G22" s="2"/>
      <c r="H22" s="2"/>
    </row>
    <row r="23" spans="1:8" ht="27.6" x14ac:dyDescent="0.3">
      <c r="A23" s="1" t="s">
        <v>117</v>
      </c>
      <c r="B23" s="2"/>
      <c r="C23" s="2"/>
      <c r="D23" s="2"/>
      <c r="E23" s="2"/>
      <c r="F23" s="2"/>
      <c r="G23" s="2"/>
      <c r="H23" s="2"/>
    </row>
    <row r="24" spans="1:8" ht="41.4" x14ac:dyDescent="0.3">
      <c r="A24" s="1" t="s">
        <v>118</v>
      </c>
      <c r="B24" s="2"/>
      <c r="C24" s="2"/>
      <c r="D24" s="2"/>
      <c r="E24" s="2"/>
      <c r="F24" s="2"/>
      <c r="G24" s="2"/>
      <c r="H24" s="2"/>
    </row>
  </sheetData>
  <mergeCells count="5">
    <mergeCell ref="A1:H1"/>
    <mergeCell ref="A2:H2"/>
    <mergeCell ref="A4:H4"/>
    <mergeCell ref="A11:H11"/>
    <mergeCell ref="A20:H20"/>
  </mergeCells>
  <pageMargins left="0.25" right="0.2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A7F3F"/>
    <pageSetUpPr fitToPage="1"/>
  </sheetPr>
  <dimension ref="A1:R34"/>
  <sheetViews>
    <sheetView showGridLines="0" zoomScale="85" zoomScaleNormal="85" workbookViewId="0">
      <pane ySplit="4" topLeftCell="A9" activePane="bottomLeft" state="frozen"/>
      <selection pane="bottomLeft" sqref="A1:H1"/>
    </sheetView>
  </sheetViews>
  <sheetFormatPr defaultColWidth="8.5546875" defaultRowHeight="14.4" x14ac:dyDescent="0.3"/>
  <cols>
    <col min="1" max="1" width="12" customWidth="1"/>
    <col min="2" max="2" width="15" customWidth="1"/>
    <col min="3" max="4" width="14" customWidth="1"/>
    <col min="5" max="6" width="15" customWidth="1"/>
    <col min="7" max="7" width="28" customWidth="1"/>
    <col min="8" max="11" width="15" customWidth="1"/>
    <col min="12" max="12" width="18" customWidth="1"/>
    <col min="13" max="13" width="16" customWidth="1"/>
    <col min="14" max="14" width="13" customWidth="1"/>
    <col min="15" max="15" width="19" customWidth="1"/>
    <col min="16" max="16" width="38" customWidth="1"/>
    <col min="17" max="17" width="36" customWidth="1"/>
    <col min="18" max="18" width="25" customWidth="1"/>
  </cols>
  <sheetData>
    <row r="1" spans="1:18" ht="27" customHeight="1" x14ac:dyDescent="0.3">
      <c r="A1" s="9" t="s">
        <v>119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21.75" customHeight="1" x14ac:dyDescent="0.3">
      <c r="A2" s="10" t="s">
        <v>1</v>
      </c>
      <c r="B2" s="10"/>
      <c r="C2" s="10"/>
      <c r="D2" s="10"/>
      <c r="E2" s="10"/>
      <c r="F2" s="10"/>
      <c r="G2" s="10"/>
      <c r="H2" s="10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" customHeight="1" x14ac:dyDescent="0.3">
      <c r="A4" s="11" t="s">
        <v>120</v>
      </c>
      <c r="B4" s="11"/>
      <c r="C4" s="11"/>
      <c r="D4" s="11"/>
      <c r="E4" s="11"/>
      <c r="F4" s="11"/>
      <c r="G4" s="11"/>
      <c r="H4" s="11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41.4" x14ac:dyDescent="0.3">
      <c r="A5" s="3" t="s">
        <v>121</v>
      </c>
      <c r="B5" s="5">
        <v>11449790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41.4" x14ac:dyDescent="0.3">
      <c r="A6" s="3" t="s">
        <v>122</v>
      </c>
      <c r="B6" s="5">
        <v>10906512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27.6" x14ac:dyDescent="0.3">
      <c r="A7" s="3" t="s">
        <v>123</v>
      </c>
      <c r="B7" s="6">
        <f>B5/B6-1</f>
        <v>4.9812258951349442E-2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ht="193.2" x14ac:dyDescent="0.3">
      <c r="A8" s="3" t="s">
        <v>124</v>
      </c>
      <c r="B8" s="1" t="s">
        <v>125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27.6" x14ac:dyDescent="0.3">
      <c r="A9" s="3" t="s">
        <v>126</v>
      </c>
      <c r="B9" s="5">
        <f>'03_Materiality'!C13</f>
        <v>53867.850000000006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124.2" x14ac:dyDescent="0.3">
      <c r="A10" s="3" t="s">
        <v>127</v>
      </c>
      <c r="B10" s="1" t="s">
        <v>128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5" customHeight="1" x14ac:dyDescent="0.3">
      <c r="A13" s="11" t="s">
        <v>129</v>
      </c>
      <c r="B13" s="11"/>
      <c r="C13" s="11"/>
      <c r="D13" s="11"/>
      <c r="E13" s="11"/>
      <c r="F13" s="11"/>
      <c r="G13" s="11"/>
      <c r="H13" s="11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31.5" customHeight="1" x14ac:dyDescent="0.3">
      <c r="A14" s="4" t="s">
        <v>130</v>
      </c>
      <c r="B14" s="4" t="s">
        <v>131</v>
      </c>
      <c r="C14" s="4" t="s">
        <v>132</v>
      </c>
      <c r="D14" s="4" t="s">
        <v>133</v>
      </c>
      <c r="E14" s="4" t="s">
        <v>134</v>
      </c>
      <c r="F14" s="4" t="s">
        <v>135</v>
      </c>
      <c r="G14" s="4" t="s">
        <v>136</v>
      </c>
      <c r="H14" s="4" t="s">
        <v>137</v>
      </c>
      <c r="I14" s="4" t="s">
        <v>138</v>
      </c>
      <c r="J14" s="4" t="s">
        <v>139</v>
      </c>
      <c r="K14" s="4" t="s">
        <v>140</v>
      </c>
      <c r="L14" s="4" t="s">
        <v>141</v>
      </c>
      <c r="M14" s="4" t="s">
        <v>142</v>
      </c>
      <c r="N14" s="4" t="s">
        <v>143</v>
      </c>
      <c r="O14" s="4" t="s">
        <v>144</v>
      </c>
      <c r="P14" s="4" t="s">
        <v>145</v>
      </c>
      <c r="Q14" s="4" t="s">
        <v>146</v>
      </c>
      <c r="R14" s="4" t="s">
        <v>147</v>
      </c>
    </row>
    <row r="15" spans="1:18" x14ac:dyDescent="0.3">
      <c r="A15" s="1" t="s">
        <v>148</v>
      </c>
      <c r="B15" s="1" t="s">
        <v>149</v>
      </c>
      <c r="C15" s="1" t="s">
        <v>150</v>
      </c>
      <c r="D15" s="1" t="s">
        <v>150</v>
      </c>
      <c r="E15" s="1" t="s">
        <v>151</v>
      </c>
      <c r="F15" s="1" t="s">
        <v>152</v>
      </c>
      <c r="G15" s="1" t="s">
        <v>153</v>
      </c>
      <c r="H15" s="5">
        <v>12500</v>
      </c>
      <c r="I15" s="5">
        <v>12500</v>
      </c>
      <c r="J15" s="1" t="s">
        <v>154</v>
      </c>
      <c r="K15" s="1" t="s">
        <v>154</v>
      </c>
      <c r="L15" s="1" t="s">
        <v>155</v>
      </c>
      <c r="M15" s="1" t="s">
        <v>156</v>
      </c>
      <c r="N15" s="5">
        <f t="shared" ref="N15:N26" si="0">I15-H15</f>
        <v>0</v>
      </c>
      <c r="O15" s="1" t="str">
        <f t="shared" ref="O15:O26" si="1">IF(M15="Incomplete","Requires Follow-up",IF(OR(ABS(N15)&gt;0,LEFT(K15,4)&lt;&gt;"2025"),"Exception Identified","No Exception"))</f>
        <v>No Exception</v>
      </c>
      <c r="P15" s="1" t="s">
        <v>155</v>
      </c>
      <c r="Q15" s="1" t="s">
        <v>157</v>
      </c>
      <c r="R15" s="1" t="s">
        <v>158</v>
      </c>
    </row>
    <row r="16" spans="1:18" x14ac:dyDescent="0.3">
      <c r="A16" s="1" t="s">
        <v>159</v>
      </c>
      <c r="B16" s="1" t="s">
        <v>160</v>
      </c>
      <c r="C16" s="1" t="s">
        <v>161</v>
      </c>
      <c r="D16" s="1" t="s">
        <v>161</v>
      </c>
      <c r="E16" s="1" t="s">
        <v>162</v>
      </c>
      <c r="F16" s="1" t="s">
        <v>163</v>
      </c>
      <c r="G16" s="1" t="s">
        <v>164</v>
      </c>
      <c r="H16" s="5">
        <v>8400</v>
      </c>
      <c r="I16" s="5">
        <v>8400</v>
      </c>
      <c r="J16" s="1" t="s">
        <v>165</v>
      </c>
      <c r="K16" s="1" t="s">
        <v>165</v>
      </c>
      <c r="L16" s="1" t="s">
        <v>155</v>
      </c>
      <c r="M16" s="1" t="s">
        <v>156</v>
      </c>
      <c r="N16" s="5">
        <f t="shared" si="0"/>
        <v>0</v>
      </c>
      <c r="O16" s="1" t="str">
        <f t="shared" si="1"/>
        <v>No Exception</v>
      </c>
      <c r="P16" s="1" t="s">
        <v>155</v>
      </c>
      <c r="Q16" s="1" t="s">
        <v>157</v>
      </c>
      <c r="R16" s="1" t="s">
        <v>158</v>
      </c>
    </row>
    <row r="17" spans="1:18" x14ac:dyDescent="0.3">
      <c r="A17" s="1" t="s">
        <v>166</v>
      </c>
      <c r="B17" s="1" t="s">
        <v>167</v>
      </c>
      <c r="C17" s="1" t="s">
        <v>168</v>
      </c>
      <c r="D17" s="1" t="s">
        <v>168</v>
      </c>
      <c r="E17" s="1" t="s">
        <v>169</v>
      </c>
      <c r="F17" s="1" t="s">
        <v>170</v>
      </c>
      <c r="G17" s="1" t="s">
        <v>171</v>
      </c>
      <c r="H17" s="5">
        <v>32900</v>
      </c>
      <c r="I17" s="5">
        <v>32900</v>
      </c>
      <c r="J17" s="1" t="s">
        <v>168</v>
      </c>
      <c r="K17" s="1" t="s">
        <v>168</v>
      </c>
      <c r="L17" s="1" t="s">
        <v>155</v>
      </c>
      <c r="M17" s="1" t="s">
        <v>156</v>
      </c>
      <c r="N17" s="5">
        <f t="shared" si="0"/>
        <v>0</v>
      </c>
      <c r="O17" s="1" t="str">
        <f t="shared" si="1"/>
        <v>No Exception</v>
      </c>
      <c r="P17" s="1" t="s">
        <v>155</v>
      </c>
      <c r="Q17" s="1" t="s">
        <v>157</v>
      </c>
      <c r="R17" s="1" t="s">
        <v>158</v>
      </c>
    </row>
    <row r="18" spans="1:18" ht="27.6" x14ac:dyDescent="0.3">
      <c r="A18" s="1" t="s">
        <v>172</v>
      </c>
      <c r="B18" s="1" t="s">
        <v>173</v>
      </c>
      <c r="C18" s="1" t="s">
        <v>174</v>
      </c>
      <c r="D18" s="1" t="s">
        <v>174</v>
      </c>
      <c r="E18" s="1" t="s">
        <v>175</v>
      </c>
      <c r="F18" s="1" t="s">
        <v>176</v>
      </c>
      <c r="G18" s="1" t="s">
        <v>177</v>
      </c>
      <c r="H18" s="5">
        <v>15600</v>
      </c>
      <c r="I18" s="5">
        <v>15400</v>
      </c>
      <c r="J18" s="1" t="s">
        <v>178</v>
      </c>
      <c r="K18" s="1" t="s">
        <v>178</v>
      </c>
      <c r="L18" s="1" t="s">
        <v>155</v>
      </c>
      <c r="M18" s="1" t="s">
        <v>156</v>
      </c>
      <c r="N18" s="5">
        <f t="shared" si="0"/>
        <v>-200</v>
      </c>
      <c r="O18" s="1" t="str">
        <f t="shared" si="1"/>
        <v>Exception Identified</v>
      </c>
      <c r="P18" s="1" t="s">
        <v>179</v>
      </c>
      <c r="Q18" s="1" t="s">
        <v>180</v>
      </c>
      <c r="R18" s="1" t="s">
        <v>158</v>
      </c>
    </row>
    <row r="19" spans="1:18" ht="27.6" x14ac:dyDescent="0.3">
      <c r="A19" s="1" t="s">
        <v>181</v>
      </c>
      <c r="B19" s="1" t="s">
        <v>182</v>
      </c>
      <c r="C19" s="1" t="s">
        <v>183</v>
      </c>
      <c r="D19" s="1" t="s">
        <v>183</v>
      </c>
      <c r="E19" s="1" t="s">
        <v>184</v>
      </c>
      <c r="F19" s="1" t="s">
        <v>185</v>
      </c>
      <c r="G19" s="1" t="s">
        <v>186</v>
      </c>
      <c r="H19" s="5">
        <v>6200</v>
      </c>
      <c r="I19" s="5">
        <v>6200</v>
      </c>
      <c r="J19" s="1" t="s">
        <v>187</v>
      </c>
      <c r="K19" s="1" t="s">
        <v>187</v>
      </c>
      <c r="L19" s="1" t="s">
        <v>155</v>
      </c>
      <c r="M19" s="1" t="s">
        <v>156</v>
      </c>
      <c r="N19" s="5">
        <f t="shared" si="0"/>
        <v>0</v>
      </c>
      <c r="O19" s="1" t="str">
        <f t="shared" si="1"/>
        <v>Exception Identified</v>
      </c>
      <c r="P19" s="1" t="s">
        <v>188</v>
      </c>
      <c r="Q19" s="1" t="s">
        <v>189</v>
      </c>
      <c r="R19" s="1" t="s">
        <v>158</v>
      </c>
    </row>
    <row r="20" spans="1:18" x14ac:dyDescent="0.3">
      <c r="A20" s="1" t="s">
        <v>190</v>
      </c>
      <c r="B20" s="1" t="s">
        <v>191</v>
      </c>
      <c r="C20" s="1" t="s">
        <v>192</v>
      </c>
      <c r="D20" s="1" t="s">
        <v>192</v>
      </c>
      <c r="E20" s="1" t="s">
        <v>193</v>
      </c>
      <c r="F20" s="1" t="s">
        <v>194</v>
      </c>
      <c r="G20" s="1" t="s">
        <v>195</v>
      </c>
      <c r="H20" s="5">
        <v>27900</v>
      </c>
      <c r="I20" s="5">
        <v>27900</v>
      </c>
      <c r="J20" s="1" t="s">
        <v>192</v>
      </c>
      <c r="K20" s="1" t="s">
        <v>192</v>
      </c>
      <c r="L20" s="1" t="s">
        <v>155</v>
      </c>
      <c r="M20" s="1" t="s">
        <v>156</v>
      </c>
      <c r="N20" s="5">
        <f t="shared" si="0"/>
        <v>0</v>
      </c>
      <c r="O20" s="1" t="str">
        <f t="shared" si="1"/>
        <v>No Exception</v>
      </c>
      <c r="P20" s="1" t="s">
        <v>155</v>
      </c>
      <c r="Q20" s="1" t="s">
        <v>157</v>
      </c>
      <c r="R20" s="1" t="s">
        <v>158</v>
      </c>
    </row>
    <row r="21" spans="1:18" x14ac:dyDescent="0.3">
      <c r="A21" s="1" t="s">
        <v>196</v>
      </c>
      <c r="B21" s="1" t="s">
        <v>197</v>
      </c>
      <c r="C21" s="1" t="s">
        <v>198</v>
      </c>
      <c r="D21" s="1" t="s">
        <v>198</v>
      </c>
      <c r="E21" s="1" t="s">
        <v>199</v>
      </c>
      <c r="F21" s="1" t="s">
        <v>200</v>
      </c>
      <c r="G21" s="1" t="s">
        <v>201</v>
      </c>
      <c r="H21" s="5">
        <v>18100</v>
      </c>
      <c r="I21" s="5">
        <v>18100</v>
      </c>
      <c r="J21" s="1" t="s">
        <v>202</v>
      </c>
      <c r="K21" s="1" t="s">
        <v>202</v>
      </c>
      <c r="L21" s="1" t="s">
        <v>155</v>
      </c>
      <c r="M21" s="1" t="s">
        <v>156</v>
      </c>
      <c r="N21" s="5">
        <f t="shared" si="0"/>
        <v>0</v>
      </c>
      <c r="O21" s="1" t="str">
        <f t="shared" si="1"/>
        <v>No Exception</v>
      </c>
      <c r="P21" s="1" t="s">
        <v>155</v>
      </c>
      <c r="Q21" s="1" t="s">
        <v>157</v>
      </c>
      <c r="R21" s="1" t="s">
        <v>158</v>
      </c>
    </row>
    <row r="22" spans="1:18" x14ac:dyDescent="0.3">
      <c r="A22" s="1" t="s">
        <v>203</v>
      </c>
      <c r="B22" s="1" t="s">
        <v>204</v>
      </c>
      <c r="C22" s="1" t="s">
        <v>205</v>
      </c>
      <c r="D22" s="1" t="s">
        <v>205</v>
      </c>
      <c r="E22" s="1" t="s">
        <v>206</v>
      </c>
      <c r="F22" s="1" t="s">
        <v>207</v>
      </c>
      <c r="G22" s="1" t="s">
        <v>208</v>
      </c>
      <c r="H22" s="5">
        <v>9700</v>
      </c>
      <c r="I22" s="5">
        <v>9700</v>
      </c>
      <c r="J22" s="1" t="s">
        <v>205</v>
      </c>
      <c r="K22" s="1" t="s">
        <v>205</v>
      </c>
      <c r="L22" s="1" t="s">
        <v>155</v>
      </c>
      <c r="M22" s="1" t="s">
        <v>156</v>
      </c>
      <c r="N22" s="5">
        <f t="shared" si="0"/>
        <v>0</v>
      </c>
      <c r="O22" s="1" t="str">
        <f t="shared" si="1"/>
        <v>No Exception</v>
      </c>
      <c r="P22" s="1" t="s">
        <v>155</v>
      </c>
      <c r="Q22" s="1" t="s">
        <v>157</v>
      </c>
      <c r="R22" s="1" t="s">
        <v>158</v>
      </c>
    </row>
    <row r="23" spans="1:18" ht="27.6" x14ac:dyDescent="0.3">
      <c r="A23" s="1" t="s">
        <v>209</v>
      </c>
      <c r="B23" s="1" t="s">
        <v>210</v>
      </c>
      <c r="C23" s="1" t="s">
        <v>211</v>
      </c>
      <c r="D23" s="1" t="s">
        <v>211</v>
      </c>
      <c r="E23" s="1" t="s">
        <v>212</v>
      </c>
      <c r="F23" s="1" t="s">
        <v>213</v>
      </c>
      <c r="G23" s="1" t="s">
        <v>214</v>
      </c>
      <c r="H23" s="5">
        <v>11400</v>
      </c>
      <c r="I23" s="5">
        <v>11400</v>
      </c>
      <c r="J23" s="1" t="s">
        <v>215</v>
      </c>
      <c r="K23" s="1" t="s">
        <v>215</v>
      </c>
      <c r="L23" s="1" t="s">
        <v>155</v>
      </c>
      <c r="M23" s="1" t="s">
        <v>216</v>
      </c>
      <c r="N23" s="5">
        <f t="shared" si="0"/>
        <v>0</v>
      </c>
      <c r="O23" s="1" t="str">
        <f t="shared" si="1"/>
        <v>Requires Follow-up</v>
      </c>
      <c r="P23" s="1" t="s">
        <v>217</v>
      </c>
      <c r="Q23" s="1" t="s">
        <v>218</v>
      </c>
      <c r="R23" s="1" t="s">
        <v>158</v>
      </c>
    </row>
    <row r="24" spans="1:18" x14ac:dyDescent="0.3">
      <c r="A24" s="1" t="s">
        <v>219</v>
      </c>
      <c r="B24" s="1" t="s">
        <v>220</v>
      </c>
      <c r="C24" s="1" t="s">
        <v>221</v>
      </c>
      <c r="D24" s="1" t="s">
        <v>221</v>
      </c>
      <c r="E24" s="1" t="s">
        <v>222</v>
      </c>
      <c r="F24" s="1" t="s">
        <v>223</v>
      </c>
      <c r="G24" s="1" t="s">
        <v>224</v>
      </c>
      <c r="H24" s="5">
        <v>13500</v>
      </c>
      <c r="I24" s="5">
        <v>13500</v>
      </c>
      <c r="J24" s="1" t="s">
        <v>225</v>
      </c>
      <c r="K24" s="1" t="s">
        <v>225</v>
      </c>
      <c r="L24" s="1" t="s">
        <v>155</v>
      </c>
      <c r="M24" s="1" t="s">
        <v>156</v>
      </c>
      <c r="N24" s="5">
        <f t="shared" si="0"/>
        <v>0</v>
      </c>
      <c r="O24" s="1" t="str">
        <f t="shared" si="1"/>
        <v>No Exception</v>
      </c>
      <c r="P24" s="1" t="s">
        <v>155</v>
      </c>
      <c r="Q24" s="1" t="s">
        <v>157</v>
      </c>
      <c r="R24" s="1" t="s">
        <v>158</v>
      </c>
    </row>
    <row r="25" spans="1:18" x14ac:dyDescent="0.3">
      <c r="A25" s="1" t="s">
        <v>226</v>
      </c>
      <c r="B25" s="1" t="s">
        <v>227</v>
      </c>
      <c r="C25" s="1" t="s">
        <v>192</v>
      </c>
      <c r="D25" s="1" t="s">
        <v>192</v>
      </c>
      <c r="E25" s="1" t="s">
        <v>228</v>
      </c>
      <c r="F25" s="1" t="s">
        <v>229</v>
      </c>
      <c r="G25" s="1" t="s">
        <v>230</v>
      </c>
      <c r="H25" s="5">
        <v>22400</v>
      </c>
      <c r="I25" s="5">
        <v>22400</v>
      </c>
      <c r="J25" s="1" t="s">
        <v>192</v>
      </c>
      <c r="K25" s="1" t="s">
        <v>192</v>
      </c>
      <c r="L25" s="1" t="s">
        <v>155</v>
      </c>
      <c r="M25" s="1" t="s">
        <v>156</v>
      </c>
      <c r="N25" s="5">
        <f t="shared" si="0"/>
        <v>0</v>
      </c>
      <c r="O25" s="1" t="str">
        <f t="shared" si="1"/>
        <v>No Exception</v>
      </c>
      <c r="P25" s="1" t="s">
        <v>155</v>
      </c>
      <c r="Q25" s="1" t="s">
        <v>157</v>
      </c>
      <c r="R25" s="1" t="s">
        <v>158</v>
      </c>
    </row>
    <row r="26" spans="1:18" x14ac:dyDescent="0.3">
      <c r="A26" s="1" t="s">
        <v>231</v>
      </c>
      <c r="B26" s="1" t="s">
        <v>232</v>
      </c>
      <c r="C26" s="1" t="s">
        <v>192</v>
      </c>
      <c r="D26" s="1" t="s">
        <v>192</v>
      </c>
      <c r="E26" s="1" t="s">
        <v>233</v>
      </c>
      <c r="F26" s="1" t="s">
        <v>234</v>
      </c>
      <c r="G26" s="1" t="s">
        <v>235</v>
      </c>
      <c r="H26" s="5">
        <v>4500</v>
      </c>
      <c r="I26" s="5">
        <v>4500</v>
      </c>
      <c r="J26" s="1" t="s">
        <v>192</v>
      </c>
      <c r="K26" s="1" t="s">
        <v>192</v>
      </c>
      <c r="L26" s="1" t="s">
        <v>155</v>
      </c>
      <c r="M26" s="1" t="s">
        <v>156</v>
      </c>
      <c r="N26" s="5">
        <f t="shared" si="0"/>
        <v>0</v>
      </c>
      <c r="O26" s="1" t="str">
        <f t="shared" si="1"/>
        <v>No Exception</v>
      </c>
      <c r="P26" s="1" t="s">
        <v>155</v>
      </c>
      <c r="Q26" s="1" t="s">
        <v>157</v>
      </c>
      <c r="R26" s="1" t="s">
        <v>158</v>
      </c>
    </row>
    <row r="27" spans="1:18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15" customHeight="1" x14ac:dyDescent="0.3">
      <c r="A29" s="11" t="s">
        <v>236</v>
      </c>
      <c r="B29" s="11"/>
      <c r="C29" s="11"/>
      <c r="D29" s="11"/>
      <c r="E29" s="11"/>
      <c r="F29" s="11"/>
      <c r="G29" s="11"/>
      <c r="H29" s="11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27.6" x14ac:dyDescent="0.3">
      <c r="A30" s="3" t="s">
        <v>237</v>
      </c>
      <c r="B30" s="1">
        <f>COUNTA(A15:A26)</f>
        <v>12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41.4" x14ac:dyDescent="0.3">
      <c r="A31" s="3" t="s">
        <v>238</v>
      </c>
      <c r="B31" s="1">
        <f>COUNTIF(O15:O26,"No Exception")</f>
        <v>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41.4" x14ac:dyDescent="0.3">
      <c r="A32" s="3" t="s">
        <v>239</v>
      </c>
      <c r="B32" s="1">
        <f>COUNTIF(O15:O26,"Exception Identified")+COUNTIF(O15:O26,"Requires Follow-up")</f>
        <v>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55.2" x14ac:dyDescent="0.3">
      <c r="A33" s="3" t="s">
        <v>240</v>
      </c>
      <c r="B33" s="5">
        <f>SUM(N15:N26)</f>
        <v>-200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151.80000000000001" x14ac:dyDescent="0.3">
      <c r="A34" s="3" t="s">
        <v>241</v>
      </c>
      <c r="B34" s="1" t="s">
        <v>242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</sheetData>
  <mergeCells count="5">
    <mergeCell ref="A1:H1"/>
    <mergeCell ref="A2:H2"/>
    <mergeCell ref="A4:H4"/>
    <mergeCell ref="A13:H13"/>
    <mergeCell ref="A29:H29"/>
  </mergeCells>
  <conditionalFormatting sqref="O15:O26">
    <cfRule type="expression" dxfId="3" priority="2">
      <formula>O15="Exception Identified"</formula>
    </cfRule>
    <cfRule type="expression" dxfId="2" priority="3">
      <formula>O15="Requires Follow-up"</formula>
    </cfRule>
  </conditionalFormatting>
  <pageMargins left="0.25" right="0.2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A7F3F"/>
    <pageSetUpPr fitToPage="1"/>
  </sheetPr>
  <dimension ref="A1:Q36"/>
  <sheetViews>
    <sheetView showGridLines="0" zoomScale="68" zoomScaleNormal="85" workbookViewId="0">
      <pane ySplit="4" topLeftCell="A16" activePane="bottomLeft" state="frozen"/>
      <selection pane="bottomLeft" sqref="A1:H1"/>
    </sheetView>
  </sheetViews>
  <sheetFormatPr defaultColWidth="8.5546875" defaultRowHeight="14.4" x14ac:dyDescent="0.3"/>
  <cols>
    <col min="1" max="1" width="11" customWidth="1"/>
    <col min="2" max="2" width="16" customWidth="1"/>
    <col min="3" max="3" width="27" customWidth="1"/>
    <col min="4" max="5" width="13" customWidth="1"/>
    <col min="6" max="6" width="14" customWidth="1"/>
    <col min="7" max="7" width="13" customWidth="1"/>
    <col min="8" max="8" width="15" customWidth="1"/>
    <col min="9" max="9" width="17" customWidth="1"/>
    <col min="10" max="10" width="15" customWidth="1"/>
    <col min="11" max="11" width="14" customWidth="1"/>
    <col min="12" max="12" width="22" customWidth="1"/>
    <col min="13" max="13" width="17" customWidth="1"/>
    <col min="14" max="14" width="19" customWidth="1"/>
    <col min="15" max="16" width="35" customWidth="1"/>
    <col min="17" max="17" width="30" customWidth="1"/>
  </cols>
  <sheetData>
    <row r="1" spans="1:17" ht="27" customHeight="1" x14ac:dyDescent="0.3">
      <c r="A1" s="9" t="s">
        <v>243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</row>
    <row r="2" spans="1:17" ht="21.75" customHeight="1" x14ac:dyDescent="0.3">
      <c r="A2" s="10" t="s">
        <v>1</v>
      </c>
      <c r="B2" s="10"/>
      <c r="C2" s="10"/>
      <c r="D2" s="10"/>
      <c r="E2" s="10"/>
      <c r="F2" s="10"/>
      <c r="G2" s="10"/>
      <c r="H2" s="10"/>
      <c r="I2" s="2"/>
      <c r="J2" s="2"/>
      <c r="K2" s="2"/>
      <c r="L2" s="2"/>
      <c r="M2" s="2"/>
      <c r="N2" s="2"/>
      <c r="O2" s="2"/>
      <c r="P2" s="2"/>
      <c r="Q2" s="2"/>
    </row>
    <row r="3" spans="1:17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 customHeight="1" x14ac:dyDescent="0.3">
      <c r="A4" s="11" t="s">
        <v>244</v>
      </c>
      <c r="B4" s="11"/>
      <c r="C4" s="11"/>
      <c r="D4" s="11"/>
      <c r="E4" s="11"/>
      <c r="F4" s="11"/>
      <c r="G4" s="11"/>
      <c r="H4" s="11"/>
      <c r="I4" s="2"/>
      <c r="J4" s="2"/>
      <c r="K4" s="2"/>
      <c r="L4" s="2"/>
      <c r="M4" s="2"/>
      <c r="N4" s="2"/>
      <c r="O4" s="2"/>
      <c r="P4" s="2"/>
      <c r="Q4" s="2"/>
    </row>
    <row r="5" spans="1:17" ht="41.4" x14ac:dyDescent="0.3">
      <c r="A5" s="3" t="s">
        <v>245</v>
      </c>
      <c r="B5" s="5">
        <v>1940000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55.2" x14ac:dyDescent="0.3">
      <c r="A6" s="3" t="s">
        <v>246</v>
      </c>
      <c r="B6" s="5">
        <v>228000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41.4" x14ac:dyDescent="0.3">
      <c r="A7" s="3" t="s">
        <v>247</v>
      </c>
      <c r="B7" s="5">
        <f>B5-B6</f>
        <v>1712000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41.4" x14ac:dyDescent="0.3">
      <c r="A8" s="3" t="s">
        <v>248</v>
      </c>
      <c r="B8" s="5">
        <v>2000000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55.2" x14ac:dyDescent="0.3">
      <c r="A9" s="3" t="s">
        <v>249</v>
      </c>
      <c r="B9" s="5">
        <v>208000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65.6" x14ac:dyDescent="0.3">
      <c r="A10" s="3" t="s">
        <v>250</v>
      </c>
      <c r="B10" s="1" t="s">
        <v>251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41.4" x14ac:dyDescent="0.3">
      <c r="A11" s="3" t="s">
        <v>126</v>
      </c>
      <c r="B11" s="5">
        <f>'03_Materiality'!C13</f>
        <v>53867.850000000006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110.4" x14ac:dyDescent="0.3">
      <c r="A12" s="3" t="s">
        <v>127</v>
      </c>
      <c r="B12" s="5" t="s">
        <v>252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15" customHeight="1" x14ac:dyDescent="0.3">
      <c r="A15" s="11" t="s">
        <v>253</v>
      </c>
      <c r="B15" s="11"/>
      <c r="C15" s="11"/>
      <c r="D15" s="11"/>
      <c r="E15" s="11"/>
      <c r="F15" s="11"/>
      <c r="G15" s="11"/>
      <c r="H15" s="11"/>
      <c r="I15" s="2"/>
      <c r="J15" s="2"/>
      <c r="K15" s="2"/>
      <c r="L15" s="2"/>
      <c r="M15" s="2"/>
      <c r="N15" s="2"/>
      <c r="O15" s="2"/>
      <c r="P15" s="2"/>
      <c r="Q15" s="2"/>
    </row>
    <row r="16" spans="1:17" ht="31.5" customHeight="1" x14ac:dyDescent="0.3">
      <c r="A16" s="4" t="s">
        <v>254</v>
      </c>
      <c r="B16" s="4" t="s">
        <v>255</v>
      </c>
      <c r="C16" s="4" t="s">
        <v>136</v>
      </c>
      <c r="D16" s="4" t="s">
        <v>256</v>
      </c>
      <c r="E16" s="4" t="s">
        <v>257</v>
      </c>
      <c r="F16" s="4" t="s">
        <v>258</v>
      </c>
      <c r="G16" s="4" t="s">
        <v>259</v>
      </c>
      <c r="H16" s="4" t="s">
        <v>260</v>
      </c>
      <c r="I16" s="4" t="s">
        <v>261</v>
      </c>
      <c r="J16" s="4" t="s">
        <v>262</v>
      </c>
      <c r="K16" s="4" t="s">
        <v>263</v>
      </c>
      <c r="L16" s="4" t="s">
        <v>264</v>
      </c>
      <c r="M16" s="4" t="s">
        <v>265</v>
      </c>
      <c r="N16" s="4" t="s">
        <v>144</v>
      </c>
      <c r="O16" s="4" t="s">
        <v>145</v>
      </c>
      <c r="P16" s="4" t="s">
        <v>266</v>
      </c>
      <c r="Q16" s="4" t="s">
        <v>241</v>
      </c>
    </row>
    <row r="17" spans="1:17" x14ac:dyDescent="0.3">
      <c r="A17" s="1" t="s">
        <v>267</v>
      </c>
      <c r="B17" s="1" t="s">
        <v>268</v>
      </c>
      <c r="C17" s="1" t="s">
        <v>269</v>
      </c>
      <c r="D17" s="5">
        <v>100</v>
      </c>
      <c r="E17" s="5">
        <v>100</v>
      </c>
      <c r="F17" s="5">
        <f t="shared" ref="F17:F28" si="0">D17-E17</f>
        <v>0</v>
      </c>
      <c r="G17" s="5">
        <v>25</v>
      </c>
      <c r="H17" s="5">
        <f t="shared" ref="H17:H28" si="1">D17*G17</f>
        <v>2500</v>
      </c>
      <c r="I17" s="5">
        <f t="shared" ref="I17:I28" si="2">E17*G17</f>
        <v>2500</v>
      </c>
      <c r="J17" s="5">
        <f t="shared" ref="J17:J28" si="3">H17-I17</f>
        <v>0</v>
      </c>
      <c r="K17" s="1" t="s">
        <v>270</v>
      </c>
      <c r="L17" s="1" t="s">
        <v>155</v>
      </c>
      <c r="M17" s="1" t="s">
        <v>156</v>
      </c>
      <c r="N17" s="1" t="str">
        <f t="shared" ref="N17:N28" si="4">IF(M17="Incomplete","Requires Follow-up",IF(OR(ABS(F17)&gt;0,ABS(J17)&gt;0,L17&lt;&gt;"None",K17="Damaged"),"Exception Identified","No Exception"))</f>
        <v>No Exception</v>
      </c>
      <c r="O17" s="1" t="s">
        <v>155</v>
      </c>
      <c r="P17" s="1" t="s">
        <v>155</v>
      </c>
      <c r="Q17" s="1" t="s">
        <v>157</v>
      </c>
    </row>
    <row r="18" spans="1:17" ht="27.6" x14ac:dyDescent="0.3">
      <c r="A18" s="1" t="s">
        <v>271</v>
      </c>
      <c r="B18" s="1" t="s">
        <v>272</v>
      </c>
      <c r="C18" s="1" t="s">
        <v>273</v>
      </c>
      <c r="D18" s="5">
        <v>75</v>
      </c>
      <c r="E18" s="5">
        <v>72</v>
      </c>
      <c r="F18" s="5">
        <f t="shared" si="0"/>
        <v>3</v>
      </c>
      <c r="G18" s="5">
        <v>150</v>
      </c>
      <c r="H18" s="5">
        <f t="shared" si="1"/>
        <v>11250</v>
      </c>
      <c r="I18" s="5">
        <f t="shared" si="2"/>
        <v>10800</v>
      </c>
      <c r="J18" s="5">
        <f t="shared" si="3"/>
        <v>450</v>
      </c>
      <c r="K18" s="1" t="s">
        <v>270</v>
      </c>
      <c r="L18" s="1" t="s">
        <v>155</v>
      </c>
      <c r="M18" s="1" t="s">
        <v>156</v>
      </c>
      <c r="N18" s="1" t="str">
        <f t="shared" si="4"/>
        <v>Exception Identified</v>
      </c>
      <c r="O18" s="1" t="s">
        <v>274</v>
      </c>
      <c r="P18" s="1" t="s">
        <v>275</v>
      </c>
      <c r="Q18" s="1" t="s">
        <v>276</v>
      </c>
    </row>
    <row r="19" spans="1:17" x14ac:dyDescent="0.3">
      <c r="A19" s="1" t="s">
        <v>277</v>
      </c>
      <c r="B19" s="1" t="s">
        <v>278</v>
      </c>
      <c r="C19" s="1" t="s">
        <v>279</v>
      </c>
      <c r="D19" s="5">
        <v>50</v>
      </c>
      <c r="E19" s="5">
        <v>50</v>
      </c>
      <c r="F19" s="5">
        <f t="shared" si="0"/>
        <v>0</v>
      </c>
      <c r="G19" s="5">
        <v>80</v>
      </c>
      <c r="H19" s="5">
        <f t="shared" si="1"/>
        <v>4000</v>
      </c>
      <c r="I19" s="5">
        <f t="shared" si="2"/>
        <v>4000</v>
      </c>
      <c r="J19" s="5">
        <f t="shared" si="3"/>
        <v>0</v>
      </c>
      <c r="K19" s="1" t="s">
        <v>270</v>
      </c>
      <c r="L19" s="1" t="s">
        <v>155</v>
      </c>
      <c r="M19" s="1" t="s">
        <v>156</v>
      </c>
      <c r="N19" s="1" t="str">
        <f t="shared" si="4"/>
        <v>No Exception</v>
      </c>
      <c r="O19" s="1" t="s">
        <v>155</v>
      </c>
      <c r="P19" s="1" t="s">
        <v>155</v>
      </c>
      <c r="Q19" s="1" t="s">
        <v>157</v>
      </c>
    </row>
    <row r="20" spans="1:17" x14ac:dyDescent="0.3">
      <c r="A20" s="1" t="s">
        <v>280</v>
      </c>
      <c r="B20" s="1" t="s">
        <v>281</v>
      </c>
      <c r="C20" s="1" t="s">
        <v>282</v>
      </c>
      <c r="D20" s="5">
        <v>30</v>
      </c>
      <c r="E20" s="5">
        <v>30</v>
      </c>
      <c r="F20" s="5">
        <f t="shared" si="0"/>
        <v>0</v>
      </c>
      <c r="G20" s="5">
        <v>900</v>
      </c>
      <c r="H20" s="5">
        <f t="shared" si="1"/>
        <v>27000</v>
      </c>
      <c r="I20" s="5">
        <f t="shared" si="2"/>
        <v>27000</v>
      </c>
      <c r="J20" s="5">
        <f t="shared" si="3"/>
        <v>0</v>
      </c>
      <c r="K20" s="1" t="s">
        <v>283</v>
      </c>
      <c r="L20" s="1" t="s">
        <v>284</v>
      </c>
      <c r="M20" s="1" t="s">
        <v>156</v>
      </c>
      <c r="N20" s="1" t="str">
        <f t="shared" si="4"/>
        <v>Exception Identified</v>
      </c>
      <c r="O20" s="1" t="s">
        <v>285</v>
      </c>
      <c r="P20" s="1" t="s">
        <v>286</v>
      </c>
      <c r="Q20" s="1" t="s">
        <v>287</v>
      </c>
    </row>
    <row r="21" spans="1:17" x14ac:dyDescent="0.3">
      <c r="A21" s="1" t="s">
        <v>288</v>
      </c>
      <c r="B21" s="1" t="s">
        <v>289</v>
      </c>
      <c r="C21" s="1" t="s">
        <v>290</v>
      </c>
      <c r="D21" s="5">
        <v>40</v>
      </c>
      <c r="E21" s="5">
        <v>40</v>
      </c>
      <c r="F21" s="5">
        <f t="shared" si="0"/>
        <v>0</v>
      </c>
      <c r="G21" s="5">
        <v>220</v>
      </c>
      <c r="H21" s="5">
        <f t="shared" si="1"/>
        <v>8800</v>
      </c>
      <c r="I21" s="5">
        <f t="shared" si="2"/>
        <v>8800</v>
      </c>
      <c r="J21" s="5">
        <f t="shared" si="3"/>
        <v>0</v>
      </c>
      <c r="K21" s="1" t="s">
        <v>270</v>
      </c>
      <c r="L21" s="1" t="s">
        <v>155</v>
      </c>
      <c r="M21" s="1" t="s">
        <v>156</v>
      </c>
      <c r="N21" s="1" t="str">
        <f t="shared" si="4"/>
        <v>No Exception</v>
      </c>
      <c r="O21" s="1" t="s">
        <v>155</v>
      </c>
      <c r="P21" s="1" t="s">
        <v>155</v>
      </c>
      <c r="Q21" s="1" t="s">
        <v>157</v>
      </c>
    </row>
    <row r="22" spans="1:17" x14ac:dyDescent="0.3">
      <c r="A22" s="1" t="s">
        <v>291</v>
      </c>
      <c r="B22" s="1" t="s">
        <v>292</v>
      </c>
      <c r="C22" s="1" t="s">
        <v>293</v>
      </c>
      <c r="D22" s="5">
        <v>60</v>
      </c>
      <c r="E22" s="5">
        <v>60</v>
      </c>
      <c r="F22" s="5">
        <f t="shared" si="0"/>
        <v>0</v>
      </c>
      <c r="G22" s="5">
        <v>65</v>
      </c>
      <c r="H22" s="5">
        <f t="shared" si="1"/>
        <v>3900</v>
      </c>
      <c r="I22" s="5">
        <f t="shared" si="2"/>
        <v>3900</v>
      </c>
      <c r="J22" s="5">
        <f t="shared" si="3"/>
        <v>0</v>
      </c>
      <c r="K22" s="1" t="s">
        <v>270</v>
      </c>
      <c r="L22" s="1" t="s">
        <v>155</v>
      </c>
      <c r="M22" s="1" t="s">
        <v>156</v>
      </c>
      <c r="N22" s="1" t="str">
        <f t="shared" si="4"/>
        <v>No Exception</v>
      </c>
      <c r="O22" s="1" t="s">
        <v>155</v>
      </c>
      <c r="P22" s="1" t="s">
        <v>155</v>
      </c>
      <c r="Q22" s="1" t="s">
        <v>157</v>
      </c>
    </row>
    <row r="23" spans="1:17" x14ac:dyDescent="0.3">
      <c r="A23" s="1" t="s">
        <v>294</v>
      </c>
      <c r="B23" s="1" t="s">
        <v>295</v>
      </c>
      <c r="C23" s="1" t="s">
        <v>296</v>
      </c>
      <c r="D23" s="5">
        <v>25</v>
      </c>
      <c r="E23" s="5">
        <v>25</v>
      </c>
      <c r="F23" s="5">
        <f t="shared" si="0"/>
        <v>0</v>
      </c>
      <c r="G23" s="5">
        <v>300</v>
      </c>
      <c r="H23" s="5">
        <f t="shared" si="1"/>
        <v>7500</v>
      </c>
      <c r="I23" s="5">
        <f t="shared" si="2"/>
        <v>7500</v>
      </c>
      <c r="J23" s="5">
        <f t="shared" si="3"/>
        <v>0</v>
      </c>
      <c r="K23" s="1" t="s">
        <v>297</v>
      </c>
      <c r="L23" s="1" t="s">
        <v>298</v>
      </c>
      <c r="M23" s="1" t="s">
        <v>216</v>
      </c>
      <c r="N23" s="1" t="str">
        <f t="shared" si="4"/>
        <v>Requires Follow-up</v>
      </c>
      <c r="O23" s="1" t="s">
        <v>299</v>
      </c>
      <c r="P23" s="1" t="s">
        <v>300</v>
      </c>
      <c r="Q23" s="1" t="s">
        <v>301</v>
      </c>
    </row>
    <row r="24" spans="1:17" x14ac:dyDescent="0.3">
      <c r="A24" s="1" t="s">
        <v>302</v>
      </c>
      <c r="B24" s="1" t="s">
        <v>303</v>
      </c>
      <c r="C24" s="1" t="s">
        <v>304</v>
      </c>
      <c r="D24" s="5">
        <v>120</v>
      </c>
      <c r="E24" s="5">
        <v>120</v>
      </c>
      <c r="F24" s="5">
        <f t="shared" si="0"/>
        <v>0</v>
      </c>
      <c r="G24" s="5">
        <v>45</v>
      </c>
      <c r="H24" s="5">
        <f t="shared" si="1"/>
        <v>5400</v>
      </c>
      <c r="I24" s="5">
        <f t="shared" si="2"/>
        <v>5400</v>
      </c>
      <c r="J24" s="5">
        <f t="shared" si="3"/>
        <v>0</v>
      </c>
      <c r="K24" s="1" t="s">
        <v>270</v>
      </c>
      <c r="L24" s="1" t="s">
        <v>155</v>
      </c>
      <c r="M24" s="1" t="s">
        <v>156</v>
      </c>
      <c r="N24" s="1" t="str">
        <f t="shared" si="4"/>
        <v>No Exception</v>
      </c>
      <c r="O24" s="1" t="s">
        <v>155</v>
      </c>
      <c r="P24" s="1" t="s">
        <v>155</v>
      </c>
      <c r="Q24" s="1" t="s">
        <v>157</v>
      </c>
    </row>
    <row r="25" spans="1:17" x14ac:dyDescent="0.3">
      <c r="A25" s="1" t="s">
        <v>305</v>
      </c>
      <c r="B25" s="1" t="s">
        <v>306</v>
      </c>
      <c r="C25" s="1" t="s">
        <v>307</v>
      </c>
      <c r="D25" s="5">
        <v>18</v>
      </c>
      <c r="E25" s="5">
        <v>18</v>
      </c>
      <c r="F25" s="5">
        <f t="shared" si="0"/>
        <v>0</v>
      </c>
      <c r="G25" s="5">
        <v>280</v>
      </c>
      <c r="H25" s="5">
        <f t="shared" si="1"/>
        <v>5040</v>
      </c>
      <c r="I25" s="5">
        <f t="shared" si="2"/>
        <v>5040</v>
      </c>
      <c r="J25" s="5">
        <f t="shared" si="3"/>
        <v>0</v>
      </c>
      <c r="K25" s="1" t="s">
        <v>270</v>
      </c>
      <c r="L25" s="1" t="s">
        <v>155</v>
      </c>
      <c r="M25" s="1" t="s">
        <v>156</v>
      </c>
      <c r="N25" s="1" t="str">
        <f t="shared" si="4"/>
        <v>No Exception</v>
      </c>
      <c r="O25" s="1" t="s">
        <v>155</v>
      </c>
      <c r="P25" s="1" t="s">
        <v>155</v>
      </c>
      <c r="Q25" s="1" t="s">
        <v>157</v>
      </c>
    </row>
    <row r="26" spans="1:17" x14ac:dyDescent="0.3">
      <c r="A26" s="1" t="s">
        <v>308</v>
      </c>
      <c r="B26" s="1" t="s">
        <v>309</v>
      </c>
      <c r="C26" s="1" t="s">
        <v>310</v>
      </c>
      <c r="D26" s="5">
        <v>35</v>
      </c>
      <c r="E26" s="5">
        <v>35</v>
      </c>
      <c r="F26" s="5">
        <f t="shared" si="0"/>
        <v>0</v>
      </c>
      <c r="G26" s="5">
        <v>110</v>
      </c>
      <c r="H26" s="5">
        <f t="shared" si="1"/>
        <v>3850</v>
      </c>
      <c r="I26" s="5">
        <f t="shared" si="2"/>
        <v>3850</v>
      </c>
      <c r="J26" s="5">
        <f t="shared" si="3"/>
        <v>0</v>
      </c>
      <c r="K26" s="1" t="s">
        <v>270</v>
      </c>
      <c r="L26" s="1" t="s">
        <v>155</v>
      </c>
      <c r="M26" s="1" t="s">
        <v>156</v>
      </c>
      <c r="N26" s="1" t="str">
        <f t="shared" si="4"/>
        <v>No Exception</v>
      </c>
      <c r="O26" s="1" t="s">
        <v>155</v>
      </c>
      <c r="P26" s="1" t="s">
        <v>155</v>
      </c>
      <c r="Q26" s="1" t="s">
        <v>157</v>
      </c>
    </row>
    <row r="27" spans="1:17" x14ac:dyDescent="0.3">
      <c r="A27" s="1" t="s">
        <v>311</v>
      </c>
      <c r="B27" s="1" t="s">
        <v>312</v>
      </c>
      <c r="C27" s="1" t="s">
        <v>313</v>
      </c>
      <c r="D27" s="5">
        <v>22</v>
      </c>
      <c r="E27" s="5">
        <v>22</v>
      </c>
      <c r="F27" s="5">
        <f t="shared" si="0"/>
        <v>0</v>
      </c>
      <c r="G27" s="5">
        <v>190</v>
      </c>
      <c r="H27" s="5">
        <f t="shared" si="1"/>
        <v>4180</v>
      </c>
      <c r="I27" s="5">
        <f t="shared" si="2"/>
        <v>4180</v>
      </c>
      <c r="J27" s="5">
        <f t="shared" si="3"/>
        <v>0</v>
      </c>
      <c r="K27" s="1" t="s">
        <v>270</v>
      </c>
      <c r="L27" s="1" t="s">
        <v>155</v>
      </c>
      <c r="M27" s="1" t="s">
        <v>156</v>
      </c>
      <c r="N27" s="1" t="str">
        <f t="shared" si="4"/>
        <v>No Exception</v>
      </c>
      <c r="O27" s="1" t="s">
        <v>155</v>
      </c>
      <c r="P27" s="1" t="s">
        <v>155</v>
      </c>
      <c r="Q27" s="1" t="s">
        <v>157</v>
      </c>
    </row>
    <row r="28" spans="1:17" x14ac:dyDescent="0.3">
      <c r="A28" s="1" t="s">
        <v>314</v>
      </c>
      <c r="B28" s="1" t="s">
        <v>315</v>
      </c>
      <c r="C28" s="1" t="s">
        <v>316</v>
      </c>
      <c r="D28" s="5">
        <v>45</v>
      </c>
      <c r="E28" s="5">
        <v>45</v>
      </c>
      <c r="F28" s="5">
        <f t="shared" si="0"/>
        <v>0</v>
      </c>
      <c r="G28" s="5">
        <v>130</v>
      </c>
      <c r="H28" s="5">
        <f t="shared" si="1"/>
        <v>5850</v>
      </c>
      <c r="I28" s="5">
        <f t="shared" si="2"/>
        <v>5850</v>
      </c>
      <c r="J28" s="5">
        <f t="shared" si="3"/>
        <v>0</v>
      </c>
      <c r="K28" s="1" t="s">
        <v>270</v>
      </c>
      <c r="L28" s="1" t="s">
        <v>155</v>
      </c>
      <c r="M28" s="1" t="s">
        <v>156</v>
      </c>
      <c r="N28" s="1" t="str">
        <f t="shared" si="4"/>
        <v>No Exception</v>
      </c>
      <c r="O28" s="1" t="s">
        <v>155</v>
      </c>
      <c r="P28" s="1" t="s">
        <v>155</v>
      </c>
      <c r="Q28" s="1" t="s">
        <v>157</v>
      </c>
    </row>
    <row r="29" spans="1:17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15" customHeight="1" x14ac:dyDescent="0.3">
      <c r="A31" s="11" t="s">
        <v>317</v>
      </c>
      <c r="B31" s="11"/>
      <c r="C31" s="11"/>
      <c r="D31" s="11"/>
      <c r="E31" s="11"/>
      <c r="F31" s="11"/>
      <c r="G31" s="11"/>
      <c r="H31" s="11"/>
      <c r="I31" s="2"/>
      <c r="J31" s="2"/>
      <c r="K31" s="2"/>
      <c r="L31" s="2"/>
      <c r="M31" s="2"/>
      <c r="N31" s="2"/>
      <c r="O31" s="2"/>
      <c r="P31" s="2"/>
      <c r="Q31" s="2"/>
    </row>
    <row r="32" spans="1:17" ht="27.6" x14ac:dyDescent="0.3">
      <c r="A32" s="3" t="s">
        <v>318</v>
      </c>
      <c r="B32" s="1">
        <f>COUNTA(A17:A28)</f>
        <v>12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41.4" x14ac:dyDescent="0.3">
      <c r="A33" s="3" t="s">
        <v>319</v>
      </c>
      <c r="B33" s="1">
        <f>COUNTIF(N17:N28,"No Exception")</f>
        <v>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41.4" x14ac:dyDescent="0.3">
      <c r="A34" s="3" t="s">
        <v>239</v>
      </c>
      <c r="B34" s="1">
        <f>COUNTIF(N17:N28,"Exception Identified")+COUNTIF(N17:N28,"Requires Follow-up")</f>
        <v>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55.2" x14ac:dyDescent="0.3">
      <c r="A35" s="3" t="s">
        <v>320</v>
      </c>
      <c r="B35" s="5">
        <f>SUM(J17:J28)</f>
        <v>450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110.4" x14ac:dyDescent="0.3">
      <c r="A36" s="3" t="s">
        <v>241</v>
      </c>
      <c r="B36" s="1" t="s">
        <v>321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</sheetData>
  <mergeCells count="5">
    <mergeCell ref="A1:H1"/>
    <mergeCell ref="A2:H2"/>
    <mergeCell ref="A4:H4"/>
    <mergeCell ref="A15:H15"/>
    <mergeCell ref="A31:H31"/>
  </mergeCells>
  <conditionalFormatting sqref="N17:N28">
    <cfRule type="expression" dxfId="1" priority="2">
      <formula>N17="Exception Identified"</formula>
    </cfRule>
    <cfRule type="expression" dxfId="0" priority="3">
      <formula>N17="Requires Follow-up"</formula>
    </cfRule>
  </conditionalFormatting>
  <pageMargins left="0.25" right="0.2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A7F3F"/>
    <pageSetUpPr fitToPage="1"/>
  </sheetPr>
  <dimension ref="A1:N10"/>
  <sheetViews>
    <sheetView showGridLines="0" zoomScale="85" zoomScaleNormal="85" workbookViewId="0">
      <pane ySplit="4" topLeftCell="A5" activePane="bottomLeft" state="frozen"/>
      <selection pane="bottomLeft" sqref="A1:H1"/>
    </sheetView>
  </sheetViews>
  <sheetFormatPr defaultColWidth="8.5546875" defaultRowHeight="14.4" x14ac:dyDescent="0.3"/>
  <cols>
    <col min="1" max="1" width="11" customWidth="1"/>
    <col min="2" max="2" width="18" customWidth="1"/>
    <col min="3" max="3" width="15" customWidth="1"/>
    <col min="4" max="4" width="42" customWidth="1"/>
    <col min="5" max="5" width="35" customWidth="1"/>
    <col min="6" max="6" width="27" customWidth="1"/>
    <col min="7" max="7" width="16" customWidth="1"/>
    <col min="8" max="8" width="28" customWidth="1"/>
    <col min="9" max="9" width="30" customWidth="1"/>
    <col min="10" max="10" width="38" customWidth="1"/>
    <col min="11" max="11" width="30" customWidth="1"/>
    <col min="12" max="12" width="20" customWidth="1"/>
    <col min="13" max="13" width="34" customWidth="1"/>
    <col min="14" max="14" width="28" customWidth="1"/>
  </cols>
  <sheetData>
    <row r="1" spans="1:14" ht="27" customHeight="1" x14ac:dyDescent="0.3">
      <c r="A1" s="9" t="s">
        <v>322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</row>
    <row r="2" spans="1:14" ht="21.75" customHeight="1" x14ac:dyDescent="0.3">
      <c r="A2" s="10" t="s">
        <v>1</v>
      </c>
      <c r="B2" s="10"/>
      <c r="C2" s="10"/>
      <c r="D2" s="10"/>
      <c r="E2" s="10"/>
      <c r="F2" s="10"/>
      <c r="G2" s="10"/>
      <c r="H2" s="10"/>
      <c r="I2" s="2"/>
      <c r="J2" s="2"/>
      <c r="K2" s="2"/>
      <c r="L2" s="2"/>
      <c r="M2" s="2"/>
      <c r="N2" s="2"/>
    </row>
    <row r="3" spans="1: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31.5" customHeight="1" x14ac:dyDescent="0.3">
      <c r="A4" s="4" t="s">
        <v>323</v>
      </c>
      <c r="B4" s="4" t="s">
        <v>324</v>
      </c>
      <c r="C4" s="4" t="s">
        <v>325</v>
      </c>
      <c r="D4" s="4" t="s">
        <v>263</v>
      </c>
      <c r="E4" s="4" t="s">
        <v>326</v>
      </c>
      <c r="F4" s="4" t="s">
        <v>327</v>
      </c>
      <c r="G4" s="4" t="s">
        <v>328</v>
      </c>
      <c r="H4" s="4" t="s">
        <v>329</v>
      </c>
      <c r="I4" s="4" t="s">
        <v>330</v>
      </c>
      <c r="J4" s="4" t="s">
        <v>331</v>
      </c>
      <c r="K4" s="4" t="s">
        <v>332</v>
      </c>
      <c r="L4" s="4" t="s">
        <v>59</v>
      </c>
      <c r="M4" s="4" t="s">
        <v>241</v>
      </c>
      <c r="N4" s="4" t="s">
        <v>333</v>
      </c>
    </row>
    <row r="5" spans="1:14" ht="27.6" x14ac:dyDescent="0.3">
      <c r="A5" s="1" t="s">
        <v>334</v>
      </c>
      <c r="B5" s="1" t="s">
        <v>335</v>
      </c>
      <c r="C5" s="1" t="s">
        <v>31</v>
      </c>
      <c r="D5" s="1" t="s">
        <v>336</v>
      </c>
      <c r="E5" s="1" t="s">
        <v>337</v>
      </c>
      <c r="F5" s="1" t="s">
        <v>338</v>
      </c>
      <c r="G5" s="5" t="s">
        <v>339</v>
      </c>
      <c r="H5" s="1" t="str">
        <f>IF(G5=0,"No quantified amount",IF(G5&lt;='03_Materiality'!C15,"Below performance materiality",IF(G5&lt;='03_Materiality'!C13,"Below overall materiality","Above overall materiality")))</f>
        <v>Above overall materiality</v>
      </c>
      <c r="I5" s="1" t="s">
        <v>340</v>
      </c>
      <c r="J5" s="1" t="s">
        <v>341</v>
      </c>
      <c r="K5" s="1" t="s">
        <v>342</v>
      </c>
      <c r="L5" s="1" t="s">
        <v>343</v>
      </c>
      <c r="M5" s="1" t="s">
        <v>344</v>
      </c>
      <c r="N5" s="1" t="s">
        <v>345</v>
      </c>
    </row>
    <row r="6" spans="1:14" ht="41.4" x14ac:dyDescent="0.3">
      <c r="A6" s="1" t="s">
        <v>346</v>
      </c>
      <c r="B6" s="1" t="s">
        <v>159</v>
      </c>
      <c r="C6" s="1" t="s">
        <v>31</v>
      </c>
      <c r="D6" s="1" t="s">
        <v>347</v>
      </c>
      <c r="E6" s="1" t="s">
        <v>348</v>
      </c>
      <c r="F6" s="1" t="s">
        <v>349</v>
      </c>
      <c r="G6" s="5" t="s">
        <v>350</v>
      </c>
      <c r="H6" s="1" t="str">
        <f>IF(G6=0,"No quantified amount",IF(G6&lt;='03_Materiality'!C15,"Below performance materiality",IF(G6&lt;='03_Materiality'!C13,"Below overall materiality","Above overall materiality")))</f>
        <v>Above overall materiality</v>
      </c>
      <c r="I6" s="1" t="s">
        <v>351</v>
      </c>
      <c r="J6" s="1" t="s">
        <v>352</v>
      </c>
      <c r="K6" s="1" t="s">
        <v>342</v>
      </c>
      <c r="L6" s="1" t="s">
        <v>343</v>
      </c>
      <c r="M6" s="1" t="s">
        <v>353</v>
      </c>
      <c r="N6" s="1" t="s">
        <v>354</v>
      </c>
    </row>
    <row r="7" spans="1:14" ht="41.4" x14ac:dyDescent="0.3">
      <c r="A7" s="1" t="s">
        <v>355</v>
      </c>
      <c r="B7" s="1" t="s">
        <v>148</v>
      </c>
      <c r="C7" s="1" t="s">
        <v>31</v>
      </c>
      <c r="D7" s="1" t="s">
        <v>356</v>
      </c>
      <c r="E7" s="1" t="s">
        <v>357</v>
      </c>
      <c r="F7" s="1" t="s">
        <v>358</v>
      </c>
      <c r="G7" s="5" t="s">
        <v>350</v>
      </c>
      <c r="H7" s="1" t="str">
        <f>IF(G7=0,"No quantified amount",IF(G7&lt;='03_Materiality'!C15,"Below performance materiality",IF(G7&lt;='03_Materiality'!C13,"Below overall materiality","Above overall materiality")))</f>
        <v>Above overall materiality</v>
      </c>
      <c r="I7" s="1" t="s">
        <v>359</v>
      </c>
      <c r="J7" s="1" t="s">
        <v>360</v>
      </c>
      <c r="K7" s="1" t="s">
        <v>342</v>
      </c>
      <c r="L7" s="1" t="s">
        <v>343</v>
      </c>
      <c r="M7" s="1" t="s">
        <v>361</v>
      </c>
      <c r="N7" s="1" t="s">
        <v>362</v>
      </c>
    </row>
    <row r="8" spans="1:14" ht="27.6" x14ac:dyDescent="0.3">
      <c r="A8" s="1" t="s">
        <v>363</v>
      </c>
      <c r="B8" s="1" t="s">
        <v>267</v>
      </c>
      <c r="C8" s="1" t="s">
        <v>77</v>
      </c>
      <c r="D8" s="1" t="s">
        <v>364</v>
      </c>
      <c r="E8" s="1" t="s">
        <v>365</v>
      </c>
      <c r="F8" s="1" t="s">
        <v>366</v>
      </c>
      <c r="G8" s="5" t="s">
        <v>367</v>
      </c>
      <c r="H8" s="1" t="str">
        <f>IF(G8=0,"No quantified amount",IF(G8&lt;='03_Materiality'!C15,"Below performance materiality",IF(G8&lt;='03_Materiality'!C13,"Below overall materiality","Above overall materiality")))</f>
        <v>Above overall materiality</v>
      </c>
      <c r="I8" s="1" t="s">
        <v>368</v>
      </c>
      <c r="J8" s="1" t="s">
        <v>369</v>
      </c>
      <c r="K8" s="1" t="s">
        <v>342</v>
      </c>
      <c r="L8" s="1" t="s">
        <v>343</v>
      </c>
      <c r="M8" s="1" t="s">
        <v>370</v>
      </c>
      <c r="N8" s="1" t="s">
        <v>371</v>
      </c>
    </row>
    <row r="9" spans="1:14" ht="27.6" x14ac:dyDescent="0.3">
      <c r="A9" s="1" t="s">
        <v>372</v>
      </c>
      <c r="B9" s="1" t="s">
        <v>277</v>
      </c>
      <c r="C9" s="1" t="s">
        <v>77</v>
      </c>
      <c r="D9" s="1" t="s">
        <v>373</v>
      </c>
      <c r="E9" s="1" t="s">
        <v>374</v>
      </c>
      <c r="F9" s="1" t="s">
        <v>375</v>
      </c>
      <c r="G9" s="5" t="s">
        <v>350</v>
      </c>
      <c r="H9" s="1" t="str">
        <f>IF(G9=0,"No quantified amount",IF(G9&lt;='03_Materiality'!C15,"Below performance materiality",IF(G9&lt;='03_Materiality'!C13,"Below overall materiality","Above overall materiality")))</f>
        <v>Above overall materiality</v>
      </c>
      <c r="I9" s="1" t="s">
        <v>376</v>
      </c>
      <c r="J9" s="1" t="s">
        <v>377</v>
      </c>
      <c r="K9" s="1" t="s">
        <v>342</v>
      </c>
      <c r="L9" s="1" t="s">
        <v>343</v>
      </c>
      <c r="M9" s="1" t="s">
        <v>378</v>
      </c>
      <c r="N9" s="1" t="s">
        <v>379</v>
      </c>
    </row>
    <row r="10" spans="1:14" ht="41.4" x14ac:dyDescent="0.3">
      <c r="A10" s="1" t="s">
        <v>380</v>
      </c>
      <c r="B10" s="1" t="s">
        <v>277</v>
      </c>
      <c r="C10" s="1" t="s">
        <v>77</v>
      </c>
      <c r="D10" s="1" t="s">
        <v>381</v>
      </c>
      <c r="E10" s="1" t="s">
        <v>382</v>
      </c>
      <c r="F10" s="1" t="s">
        <v>383</v>
      </c>
      <c r="G10" s="5" t="s">
        <v>350</v>
      </c>
      <c r="H10" s="1" t="str">
        <f>IF(G10=0,"No quantified amount",IF(G10&lt;='03_Materiality'!C15,"Below performance materiality",IF(G10&lt;='03_Materiality'!C13,"Below overall materiality","Above overall materiality")))</f>
        <v>Above overall materiality</v>
      </c>
      <c r="I10" s="1" t="s">
        <v>376</v>
      </c>
      <c r="J10" s="1" t="s">
        <v>384</v>
      </c>
      <c r="K10" s="1" t="s">
        <v>342</v>
      </c>
      <c r="L10" s="1" t="s">
        <v>343</v>
      </c>
      <c r="M10" s="1" t="s">
        <v>378</v>
      </c>
      <c r="N10" s="1" t="s">
        <v>385</v>
      </c>
    </row>
  </sheetData>
  <mergeCells count="2">
    <mergeCell ref="A1:H1"/>
    <mergeCell ref="A2:H2"/>
  </mergeCells>
  <pageMargins left="0.25" right="0.2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A7F3F"/>
    <pageSetUpPr fitToPage="1"/>
  </sheetPr>
  <dimension ref="A1:H33"/>
  <sheetViews>
    <sheetView showGridLines="0" zoomScale="55" zoomScaleNormal="85" workbookViewId="0">
      <pane ySplit="4" topLeftCell="A5" activePane="bottomLeft" state="frozen"/>
      <selection pane="bottomLeft" activeCell="K17" sqref="K17"/>
    </sheetView>
  </sheetViews>
  <sheetFormatPr defaultColWidth="8.5546875" defaultRowHeight="14.4" x14ac:dyDescent="0.3"/>
  <cols>
    <col min="1" max="1" width="32" customWidth="1"/>
    <col min="2" max="2" width="28" customWidth="1"/>
    <col min="3" max="3" width="34" customWidth="1"/>
    <col min="4" max="8" width="16" customWidth="1"/>
  </cols>
  <sheetData>
    <row r="1" spans="1:8" ht="27" customHeight="1" x14ac:dyDescent="0.3">
      <c r="A1" s="9" t="s">
        <v>386</v>
      </c>
      <c r="B1" s="9"/>
      <c r="C1" s="9"/>
      <c r="D1" s="9"/>
      <c r="E1" s="9"/>
      <c r="F1" s="9"/>
      <c r="G1" s="9"/>
      <c r="H1" s="9"/>
    </row>
    <row r="2" spans="1:8" ht="21.75" customHeight="1" x14ac:dyDescent="0.3">
      <c r="A2" s="10" t="s">
        <v>1</v>
      </c>
      <c r="B2" s="10"/>
      <c r="C2" s="10"/>
      <c r="D2" s="10"/>
      <c r="E2" s="10"/>
      <c r="F2" s="10"/>
      <c r="G2" s="10"/>
      <c r="H2" s="10"/>
    </row>
    <row r="3" spans="1:8" x14ac:dyDescent="0.3">
      <c r="A3" s="2"/>
      <c r="B3" s="2"/>
      <c r="C3" s="2"/>
      <c r="D3" s="2"/>
      <c r="E3" s="2"/>
      <c r="F3" s="2"/>
      <c r="G3" s="2"/>
      <c r="H3" s="2"/>
    </row>
    <row r="4" spans="1:8" ht="15" customHeight="1" x14ac:dyDescent="0.3">
      <c r="A4" s="11" t="s">
        <v>387</v>
      </c>
      <c r="B4" s="11"/>
      <c r="C4" s="11"/>
      <c r="D4" s="11"/>
      <c r="E4" s="11"/>
      <c r="F4" s="11"/>
      <c r="G4" s="11"/>
      <c r="H4" s="11"/>
    </row>
    <row r="5" spans="1:8" ht="27.6" x14ac:dyDescent="0.3">
      <c r="A5" s="3" t="s">
        <v>5</v>
      </c>
      <c r="B5" s="1" t="s">
        <v>6</v>
      </c>
      <c r="C5" s="2"/>
      <c r="D5" s="2"/>
      <c r="E5" s="2"/>
      <c r="F5" s="2"/>
      <c r="G5" s="2"/>
      <c r="H5" s="2"/>
    </row>
    <row r="6" spans="1:8" ht="27.6" x14ac:dyDescent="0.3">
      <c r="A6" s="3" t="s">
        <v>7</v>
      </c>
      <c r="B6" s="1" t="s">
        <v>8</v>
      </c>
      <c r="C6" s="2"/>
      <c r="D6" s="2"/>
      <c r="E6" s="2"/>
      <c r="F6" s="2"/>
      <c r="G6" s="2"/>
      <c r="H6" s="2"/>
    </row>
    <row r="7" spans="1:8" ht="96.6" x14ac:dyDescent="0.3">
      <c r="A7" s="3" t="s">
        <v>39</v>
      </c>
      <c r="B7" s="1" t="s">
        <v>388</v>
      </c>
      <c r="C7" s="2"/>
      <c r="D7" s="2"/>
      <c r="E7" s="2"/>
      <c r="F7" s="2"/>
      <c r="G7" s="2"/>
      <c r="H7" s="2"/>
    </row>
    <row r="8" spans="1:8" ht="41.4" x14ac:dyDescent="0.3">
      <c r="A8" s="3" t="s">
        <v>389</v>
      </c>
      <c r="B8" s="1" t="s">
        <v>390</v>
      </c>
      <c r="C8" s="2"/>
      <c r="D8" s="2"/>
      <c r="E8" s="2"/>
      <c r="F8" s="2"/>
      <c r="G8" s="2"/>
      <c r="H8" s="2"/>
    </row>
    <row r="9" spans="1:8" x14ac:dyDescent="0.3">
      <c r="A9" s="2"/>
      <c r="B9" s="2"/>
      <c r="C9" s="2"/>
      <c r="D9" s="2"/>
      <c r="E9" s="2"/>
      <c r="F9" s="2"/>
      <c r="G9" s="2"/>
      <c r="H9" s="2"/>
    </row>
    <row r="10" spans="1:8" x14ac:dyDescent="0.3">
      <c r="A10" s="2"/>
      <c r="B10" s="2"/>
      <c r="C10" s="2"/>
      <c r="D10" s="2"/>
      <c r="E10" s="2"/>
      <c r="F10" s="2"/>
      <c r="G10" s="2"/>
      <c r="H10" s="2"/>
    </row>
    <row r="11" spans="1:8" ht="15" customHeight="1" x14ac:dyDescent="0.3">
      <c r="A11" s="11" t="s">
        <v>391</v>
      </c>
      <c r="B11" s="11"/>
      <c r="C11" s="11"/>
      <c r="D11" s="11"/>
      <c r="E11" s="11"/>
      <c r="F11" s="11"/>
      <c r="G11" s="11"/>
      <c r="H11" s="11"/>
    </row>
    <row r="12" spans="1:8" ht="31.5" customHeight="1" x14ac:dyDescent="0.3">
      <c r="A12" s="4" t="s">
        <v>25</v>
      </c>
      <c r="B12" s="4" t="s">
        <v>392</v>
      </c>
      <c r="C12" s="4" t="s">
        <v>393</v>
      </c>
      <c r="D12" s="2"/>
      <c r="E12" s="2"/>
      <c r="F12" s="2"/>
      <c r="G12" s="2"/>
      <c r="H12" s="2"/>
    </row>
    <row r="13" spans="1:8" x14ac:dyDescent="0.3">
      <c r="A13" s="1" t="s">
        <v>123</v>
      </c>
      <c r="B13" s="6">
        <f>'04_Revenue_Testing'!B7</f>
        <v>4.9812258951349442E-2</v>
      </c>
      <c r="C13" s="1" t="s">
        <v>68</v>
      </c>
      <c r="D13" s="2"/>
      <c r="E13" s="2"/>
      <c r="F13" s="2"/>
      <c r="G13" s="2"/>
      <c r="H13" s="2"/>
    </row>
    <row r="14" spans="1:8" x14ac:dyDescent="0.3">
      <c r="A14" s="1" t="s">
        <v>107</v>
      </c>
      <c r="B14" s="5">
        <f>'03_Materiality'!C13</f>
        <v>53867.850000000006</v>
      </c>
      <c r="C14" s="1" t="s">
        <v>394</v>
      </c>
      <c r="D14" s="2"/>
      <c r="E14" s="2"/>
      <c r="F14" s="2"/>
      <c r="G14" s="2"/>
      <c r="H14" s="2"/>
    </row>
    <row r="15" spans="1:8" x14ac:dyDescent="0.3">
      <c r="A15" s="1" t="s">
        <v>110</v>
      </c>
      <c r="B15" s="5">
        <f>'03_Materiality'!C14</f>
        <v>40400.887500000004</v>
      </c>
      <c r="C15" s="1" t="s">
        <v>394</v>
      </c>
      <c r="D15" s="2"/>
      <c r="E15" s="2"/>
      <c r="F15" s="2"/>
      <c r="G15" s="2"/>
      <c r="H15" s="2"/>
    </row>
    <row r="16" spans="1:8" x14ac:dyDescent="0.3">
      <c r="A16" s="1" t="s">
        <v>112</v>
      </c>
      <c r="B16" s="5">
        <f>'03_Materiality'!C15</f>
        <v>2693.3925000000004</v>
      </c>
      <c r="C16" s="1" t="s">
        <v>394</v>
      </c>
      <c r="D16" s="2"/>
      <c r="E16" s="2"/>
      <c r="F16" s="2"/>
      <c r="G16" s="2"/>
      <c r="H16" s="2"/>
    </row>
    <row r="17" spans="1:8" x14ac:dyDescent="0.3">
      <c r="A17" s="1" t="s">
        <v>395</v>
      </c>
      <c r="B17" s="1">
        <f>'04_Revenue_Testing'!B30</f>
        <v>12</v>
      </c>
      <c r="C17" s="1" t="s">
        <v>68</v>
      </c>
      <c r="D17" s="2"/>
      <c r="E17" s="2"/>
      <c r="F17" s="2"/>
      <c r="G17" s="2"/>
      <c r="H17" s="2"/>
    </row>
    <row r="18" spans="1:8" x14ac:dyDescent="0.3">
      <c r="A18" s="1" t="s">
        <v>396</v>
      </c>
      <c r="B18" s="1">
        <f>'05_Inventory_Testing'!B32</f>
        <v>12</v>
      </c>
      <c r="C18" s="1" t="s">
        <v>82</v>
      </c>
      <c r="D18" s="2"/>
      <c r="E18" s="2"/>
      <c r="F18" s="2"/>
      <c r="G18" s="2"/>
      <c r="H18" s="2"/>
    </row>
    <row r="19" spans="1:8" x14ac:dyDescent="0.3">
      <c r="A19" s="1" t="s">
        <v>397</v>
      </c>
      <c r="B19" s="1">
        <f>COUNTA('06_Audit_Findings'!A5:A10)</f>
        <v>6</v>
      </c>
      <c r="C19" s="1" t="s">
        <v>398</v>
      </c>
      <c r="D19" s="2"/>
      <c r="E19" s="2"/>
      <c r="F19" s="2"/>
      <c r="G19" s="2"/>
      <c r="H19" s="2"/>
    </row>
    <row r="20" spans="1:8" x14ac:dyDescent="0.3">
      <c r="A20" s="2"/>
      <c r="B20" s="2"/>
      <c r="C20" s="2"/>
      <c r="D20" s="2"/>
      <c r="E20" s="2"/>
      <c r="F20" s="2"/>
      <c r="G20" s="2"/>
      <c r="H20" s="2"/>
    </row>
    <row r="21" spans="1:8" x14ac:dyDescent="0.3">
      <c r="A21" s="2"/>
      <c r="B21" s="2"/>
      <c r="C21" s="2"/>
      <c r="D21" s="2"/>
      <c r="E21" s="2"/>
      <c r="F21" s="2"/>
      <c r="G21" s="2"/>
      <c r="H21" s="2"/>
    </row>
    <row r="22" spans="1:8" ht="15" customHeight="1" x14ac:dyDescent="0.3">
      <c r="A22" s="11" t="s">
        <v>399</v>
      </c>
      <c r="B22" s="11"/>
      <c r="C22" s="11"/>
      <c r="D22" s="11"/>
      <c r="E22" s="11"/>
      <c r="F22" s="11"/>
      <c r="G22" s="11"/>
      <c r="H22" s="11"/>
    </row>
    <row r="23" spans="1:8" ht="15" customHeight="1" x14ac:dyDescent="0.3">
      <c r="A23" s="13" t="s">
        <v>400</v>
      </c>
      <c r="B23" s="13"/>
      <c r="C23" s="13"/>
      <c r="D23" s="13"/>
      <c r="E23" s="13"/>
      <c r="F23" s="13"/>
      <c r="G23" s="13"/>
      <c r="H23" s="13"/>
    </row>
    <row r="24" spans="1:8" x14ac:dyDescent="0.3">
      <c r="A24" s="13"/>
      <c r="B24" s="13"/>
      <c r="C24" s="13"/>
      <c r="D24" s="13"/>
      <c r="E24" s="13"/>
      <c r="F24" s="13"/>
      <c r="G24" s="13"/>
      <c r="H24" s="13"/>
    </row>
    <row r="25" spans="1:8" x14ac:dyDescent="0.3">
      <c r="A25" s="13"/>
      <c r="B25" s="13"/>
      <c r="C25" s="13"/>
      <c r="D25" s="13"/>
      <c r="E25" s="13"/>
      <c r="F25" s="13"/>
      <c r="G25" s="13"/>
      <c r="H25" s="13"/>
    </row>
    <row r="26" spans="1:8" x14ac:dyDescent="0.3">
      <c r="A26" s="13"/>
      <c r="B26" s="13"/>
      <c r="C26" s="13"/>
      <c r="D26" s="13"/>
      <c r="E26" s="13"/>
      <c r="F26" s="13"/>
      <c r="G26" s="13"/>
      <c r="H26" s="13"/>
    </row>
    <row r="27" spans="1:8" x14ac:dyDescent="0.3">
      <c r="A27" s="2"/>
      <c r="B27" s="2"/>
      <c r="C27" s="2"/>
      <c r="D27" s="2"/>
      <c r="E27" s="2"/>
      <c r="F27" s="2"/>
      <c r="G27" s="2"/>
      <c r="H27" s="2"/>
    </row>
    <row r="28" spans="1:8" ht="15" customHeight="1" x14ac:dyDescent="0.3">
      <c r="A28" s="11" t="s">
        <v>401</v>
      </c>
      <c r="B28" s="11"/>
      <c r="C28" s="11"/>
      <c r="D28" s="11"/>
      <c r="E28" s="11"/>
      <c r="F28" s="11"/>
      <c r="G28" s="11"/>
      <c r="H28" s="11"/>
    </row>
    <row r="29" spans="1:8" ht="15" customHeight="1" x14ac:dyDescent="0.3">
      <c r="A29" s="12" t="s">
        <v>402</v>
      </c>
      <c r="B29" s="12"/>
      <c r="C29" s="12"/>
      <c r="D29" s="12"/>
      <c r="E29" s="12"/>
      <c r="F29" s="12"/>
      <c r="G29" s="12"/>
      <c r="H29" s="12"/>
    </row>
    <row r="30" spans="1:8" ht="15" customHeight="1" x14ac:dyDescent="0.3">
      <c r="A30" s="12" t="s">
        <v>403</v>
      </c>
      <c r="B30" s="12"/>
      <c r="C30" s="12"/>
      <c r="D30" s="12"/>
      <c r="E30" s="12"/>
      <c r="F30" s="12"/>
      <c r="G30" s="12"/>
      <c r="H30" s="12"/>
    </row>
    <row r="31" spans="1:8" ht="15" customHeight="1" x14ac:dyDescent="0.3">
      <c r="A31" s="12" t="s">
        <v>404</v>
      </c>
      <c r="B31" s="12"/>
      <c r="C31" s="12"/>
      <c r="D31" s="12"/>
      <c r="E31" s="12"/>
      <c r="F31" s="12"/>
      <c r="G31" s="12"/>
      <c r="H31" s="12"/>
    </row>
    <row r="32" spans="1:8" ht="15" customHeight="1" x14ac:dyDescent="0.3">
      <c r="A32" s="12" t="s">
        <v>405</v>
      </c>
      <c r="B32" s="12"/>
      <c r="C32" s="12"/>
      <c r="D32" s="12"/>
      <c r="E32" s="12"/>
      <c r="F32" s="12"/>
      <c r="G32" s="12"/>
      <c r="H32" s="12"/>
    </row>
    <row r="33" spans="1:8" ht="15" customHeight="1" x14ac:dyDescent="0.3">
      <c r="A33" s="12" t="s">
        <v>406</v>
      </c>
      <c r="B33" s="12"/>
      <c r="C33" s="12"/>
      <c r="D33" s="12"/>
      <c r="E33" s="12"/>
      <c r="F33" s="12"/>
      <c r="G33" s="12"/>
      <c r="H33" s="12"/>
    </row>
  </sheetData>
  <mergeCells count="12">
    <mergeCell ref="A32:H32"/>
    <mergeCell ref="A33:H33"/>
    <mergeCell ref="A23:H26"/>
    <mergeCell ref="A28:H28"/>
    <mergeCell ref="A29:H29"/>
    <mergeCell ref="A30:H30"/>
    <mergeCell ref="A31:H31"/>
    <mergeCell ref="A1:H1"/>
    <mergeCell ref="A2:H2"/>
    <mergeCell ref="A4:H4"/>
    <mergeCell ref="A11:H11"/>
    <mergeCell ref="A22:H22"/>
  </mergeCells>
  <pageMargins left="0.25" right="0.2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01_Audit_Planning</vt:lpstr>
      <vt:lpstr>02_Risk_Assessment</vt:lpstr>
      <vt:lpstr>03_Materiality</vt:lpstr>
      <vt:lpstr>04_Revenue_Testing</vt:lpstr>
      <vt:lpstr>05_Inventory_Testing</vt:lpstr>
      <vt:lpstr>06_Audit_Findings</vt:lpstr>
      <vt:lpstr>07_Audit_Summary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Hanan aldalbahi</dc:creator>
  <cp:lastModifiedBy>حنان شرار بن ذعار الدلبحي</cp:lastModifiedBy>
  <dcterms:created xsi:type="dcterms:W3CDTF">2026-10-21T22:54:57Z</dcterms:created>
  <dcterms:modified xsi:type="dcterms:W3CDTF">2026-10-24T00:47:21Z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2026-10-20T23:30:52Z</dcterms:created>
  <dc:creator>openpyxl</dc:creator>
  <dc:description/>
  <dc:language>en-US</dc:language>
  <cp:lastModifiedBy/>
  <dcterms:modified xsi:type="dcterms:W3CDTF">2026-10-20T23:30:53Z</dcterms:modified>
  <cp:revision>0</cp:revision>
  <dc:subject/>
  <dc:title/>
</cp:coreProperties>
</file>